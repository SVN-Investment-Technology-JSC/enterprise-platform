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Tài khoản" sheetId="1" state="visible" r:id="rId1"/>
    <sheet xmlns:r="http://schemas.openxmlformats.org/officeDocument/2006/relationships" name="Kịch bản kiểm thử (Test Cas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1F2937"/>
      <sz val="16"/>
    </font>
    <font>
      <name val="Calibri"/>
      <i val="1"/>
      <color rgb="004B5563"/>
      <sz val="11"/>
    </font>
    <font>
      <name val="Calibri"/>
      <b val="1"/>
      <color rgb="001E3A8A"/>
      <sz val="11"/>
    </font>
    <font>
      <name val="Calibri"/>
      <b val="1"/>
      <color rgb="00111827"/>
      <sz val="10"/>
    </font>
    <font>
      <name val="Calibri"/>
      <b val="1"/>
      <color rgb="001E40AF"/>
      <sz val="11"/>
    </font>
    <font>
      <name val="Calibri"/>
      <color rgb="001F2937"/>
      <sz val="10"/>
    </font>
    <font>
      <name val="Calibri"/>
      <b val="1"/>
      <color rgb="0016A34A"/>
      <sz val="12"/>
    </font>
    <font>
      <name val="Calibri"/>
      <b val="1"/>
      <color rgb="00111827"/>
      <sz val="11"/>
    </font>
    <font>
      <name val="Consolas"/>
      <color rgb="00991B1B"/>
      <sz val="9.5"/>
    </font>
    <font>
      <name val="Calibri"/>
      <b val="1"/>
      <color rgb="00FFFFFF"/>
      <sz val="12"/>
    </font>
  </fonts>
  <fills count="7">
    <fill>
      <patternFill/>
    </fill>
    <fill>
      <patternFill patternType="gray125"/>
    </fill>
    <fill>
      <patternFill patternType="solid">
        <fgColor rgb="00F3F4F6"/>
        <bgColor rgb="00F3F4F6"/>
      </patternFill>
    </fill>
    <fill>
      <patternFill patternType="solid">
        <fgColor rgb="00E5E7EB"/>
        <bgColor rgb="00E5E7EB"/>
      </patternFill>
    </fill>
    <fill>
      <patternFill patternType="solid">
        <fgColor rgb="00F9FAFB"/>
        <bgColor rgb="00F9FAFB"/>
      </patternFill>
    </fill>
    <fill>
      <patternFill patternType="solid">
        <fgColor rgb="00DBEAFE"/>
        <bgColor rgb="00DBEAFE"/>
      </patternFill>
    </fill>
    <fill>
      <patternFill patternType="solid">
        <fgColor rgb="001E3A8A"/>
        <bgColor rgb="001E3A8A"/>
      </patternFill>
    </fill>
  </fills>
  <borders count="7">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thin">
        <color rgb="00D1D5DB"/>
      </top>
      <bottom style="medium">
        <color rgb="009CA3AF"/>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6" fillId="0" borderId="0" pivotButton="0" quotePrefix="0" xfId="0"/>
    <xf numFmtId="164" fontId="7" fillId="2" borderId="1" applyAlignment="1" pivotButton="0" quotePrefix="0" xfId="0">
      <alignment horizontal="center" vertical="center"/>
    </xf>
    <xf numFmtId="0" fontId="8" fillId="3" borderId="2" applyAlignment="1" pivotButton="0" quotePrefix="0" xfId="0">
      <alignment horizontal="center" vertical="center"/>
    </xf>
    <xf numFmtId="0" fontId="8" fillId="3" borderId="2" applyAlignment="1" pivotButton="0" quotePrefix="0" xfId="0">
      <alignment horizontal="left" vertical="center"/>
    </xf>
    <xf numFmtId="0" fontId="4" fillId="0" borderId="1" applyAlignment="1" pivotButton="0" quotePrefix="0" xfId="0">
      <alignment horizontal="center" vertical="center"/>
    </xf>
    <xf numFmtId="0" fontId="6" fillId="0" borderId="1" pivotButton="0" quotePrefix="0" xfId="0"/>
    <xf numFmtId="0" fontId="9" fillId="0" borderId="1" pivotButton="0" quotePrefix="0" xfId="0"/>
    <xf numFmtId="0" fontId="4" fillId="4" borderId="1" applyAlignment="1" pivotButton="0" quotePrefix="0" xfId="0">
      <alignment horizontal="center" vertical="center"/>
    </xf>
    <xf numFmtId="0" fontId="6" fillId="4" borderId="1" pivotButton="0" quotePrefix="0" xfId="0"/>
    <xf numFmtId="0" fontId="9" fillId="4" borderId="1" pivotButton="0" quotePrefix="0" xfId="0"/>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0" fillId="0" borderId="5" pivotButton="0" quotePrefix="0" xfId="0"/>
    <xf numFmtId="0" fontId="0" fillId="0" borderId="6" pivotButton="0" quotePrefix="0" xfId="0"/>
    <xf numFmtId="0" fontId="0" fillId="6" borderId="1" pivotButton="0" quotePrefix="0" xfId="0"/>
    <xf numFmtId="0" fontId="10" fillId="6" borderId="1" applyAlignment="1" pivotButton="0" quotePrefix="0" xfId="0">
      <alignment horizontal="left" vertical="center"/>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2"/>
  <sheetViews>
    <sheetView showGridLines="1" workbookViewId="0">
      <selection activeCell="A1" sqref="A1"/>
    </sheetView>
  </sheetViews>
  <sheetFormatPr baseColWidth="8" defaultRowHeight="15"/>
  <cols>
    <col width="3" customWidth="1" min="1" max="1"/>
    <col width="18" customWidth="1" min="2" max="2"/>
    <col width="32" customWidth="1" min="3" max="3"/>
    <col width="38" customWidth="1" min="4" max="4"/>
    <col width="30" customWidth="1" min="5" max="5"/>
    <col width="32" customWidth="1" min="6" max="6"/>
    <col width="45" customWidth="1" min="7" max="7"/>
  </cols>
  <sheetData>
    <row r="2">
      <c r="B2" s="1" t="inlineStr">
        <is>
          <t>KỊCH BẢN KIỂM THỬ UI &amp; CHỨC NĂNG HỆ THỐNG</t>
        </is>
      </c>
    </row>
    <row r="3">
      <c r="B3" s="2" t="inlineStr">
        <is>
          <t>Doanh nghiệp: SAVINA Testing Hub · Phiên bản: 2026-09-07 · Môi trường: Live Production</t>
        </is>
      </c>
    </row>
    <row r="5">
      <c r="B5" s="3" t="inlineStr">
        <is>
          <t>DASHBOARD THEO DÕI TIẾN ĐỘ KIỂM THỬ (TỰ ĐỘNG TÍNH TOÁN)</t>
        </is>
      </c>
    </row>
    <row r="6">
      <c r="B6" s="4" t="inlineStr">
        <is>
          <t>Tổng số bước test</t>
        </is>
      </c>
      <c r="C6" s="5">
        <f>COUNTA('Kịch bản kiểm thử (Test Cases)'!C5:C300)</f>
        <v/>
      </c>
      <c r="D6" s="6" t="inlineStr">
        <is>
          <t>Bước</t>
        </is>
      </c>
    </row>
    <row r="7">
      <c r="B7" s="4" t="inlineStr">
        <is>
          <t>Đã hoàn thành (Pass)</t>
        </is>
      </c>
      <c r="C7" s="5">
        <f>COUNTIF('Kịch bản kiểm thử (Test Cases)'!B5:B300, "Đạt (Pass)") + COUNTIF('Kịch bản kiểm thử (Test Cases)'!B5:B300, TRUE)</f>
        <v/>
      </c>
      <c r="D7" s="6" t="inlineStr">
        <is>
          <t>Bước</t>
        </is>
      </c>
    </row>
    <row r="8">
      <c r="B8" s="4" t="inlineStr">
        <is>
          <t>Gặp lỗi (Fail / Bug)</t>
        </is>
      </c>
      <c r="C8" s="5">
        <f>COUNTIF('Kịch bản kiểm thử (Test Cases)'!B5:B300, "Lỗi (Fail)")</f>
        <v/>
      </c>
      <c r="D8" s="6" t="inlineStr">
        <is>
          <t>Bước</t>
        </is>
      </c>
    </row>
    <row r="9">
      <c r="B9" s="4" t="inlineStr">
        <is>
          <t>Chưa kiểm thử</t>
        </is>
      </c>
      <c r="C9" s="5">
        <f>COUNTIF('Kịch bản kiểm thử (Test Cases)'!B5:B300, "Chưa test") + COUNTIF('Kịch bản kiểm thử (Test Cases)'!B5:B300, FALSE) + COUNTIF('Kịch bản kiểm thử (Test Cases)'!B5:B300, "") - (300-COUNTA('Kịch bản kiểm thử (Test Cases)'!C5:C300)-4)</f>
        <v/>
      </c>
      <c r="D9" s="6" t="inlineStr">
        <is>
          <t>Bước</t>
        </is>
      </c>
    </row>
    <row r="10">
      <c r="B10" s="4" t="inlineStr">
        <is>
          <t>Tỷ lệ hoàn thành</t>
        </is>
      </c>
      <c r="C10" s="7">
        <f>IFERROR(C7/C6, 0)</f>
        <v/>
      </c>
      <c r="D10" s="6" t="inlineStr">
        <is>
          <t>%</t>
        </is>
      </c>
    </row>
    <row r="12">
      <c r="B12" s="3" t="inlineStr">
        <is>
          <t>THÔNG TIN MÔI TRƯỜNG &amp; ĐƯỜNG DẪN</t>
        </is>
      </c>
    </row>
    <row r="13">
      <c r="B13" s="4" t="inlineStr">
        <is>
          <t>Domain triển khai thực tế</t>
        </is>
      </c>
      <c r="C13" s="6" t="inlineStr">
        <is>
          <t>https://enterprise-platform.savinatestinghub.com/</t>
        </is>
      </c>
    </row>
    <row r="14">
      <c r="B14" s="4" t="inlineStr">
        <is>
          <t>Cổng Platform Superadmin</t>
        </is>
      </c>
      <c r="C14" s="6" t="inlineStr">
        <is>
          <t>https://enterprise-platform.savinatestinghub.com/platform/login</t>
        </is>
      </c>
    </row>
    <row r="15">
      <c r="B15" s="4" t="inlineStr">
        <is>
          <t>Cổng Đăng nhập SAVINA Tenant</t>
        </is>
      </c>
      <c r="C15" s="6" t="inlineStr">
        <is>
          <t>https://enterprise-platform.savinatestinghub.com/tenant/login</t>
        </is>
      </c>
    </row>
    <row r="16">
      <c r="B16" s="4" t="inlineStr">
        <is>
          <t>Module Kho &amp; Vật tư (Inventory)</t>
        </is>
      </c>
      <c r="C16" s="6" t="inlineStr">
        <is>
          <t>https://enterprise-platform.savinatestinghub.com/modules/inventory</t>
        </is>
      </c>
    </row>
    <row r="17">
      <c r="B17" s="4" t="inlineStr">
        <is>
          <t>Module Bảo trì (Maintenance)</t>
        </is>
      </c>
      <c r="C17" s="6" t="inlineStr">
        <is>
          <t>https://enterprise-platform.savinatestinghub.com/modules/maintenance</t>
        </is>
      </c>
    </row>
    <row r="18">
      <c r="B18" s="4" t="inlineStr">
        <is>
          <t>Module Quy trình (Procedure)</t>
        </is>
      </c>
      <c r="C18" s="6" t="inlineStr">
        <is>
          <t>https://enterprise-platform.savinatestinghub.com/modules/procedure</t>
        </is>
      </c>
    </row>
    <row r="19">
      <c r="B19" s="4" t="inlineStr">
        <is>
          <t>Tài khoản Tenant Admin SAVINA</t>
        </is>
      </c>
      <c r="C19" s="6" t="inlineStr">
        <is>
          <t>Email: ha.nguyen.hoang@savina.local  |  Pass: ha.nguyen.hoang@savina.local</t>
        </is>
      </c>
    </row>
    <row r="20">
      <c r="B20" s="4" t="inlineStr">
        <is>
          <t>Mật khẩu chung thành viên SAVINA</t>
        </is>
      </c>
      <c r="C20" s="6" t="inlineStr">
        <is>
          <t>Savina-Member-Demo-2026 (theo file seed SAVINA_DATA_IMPORT_SAMPLE.xlsx)</t>
        </is>
      </c>
    </row>
    <row r="22">
      <c r="B22" s="3" t="inlineStr">
        <is>
          <t>DANH SÁCH TÀI KHOẢN THỬ NGHIỆM CHI TIẾT</t>
        </is>
      </c>
    </row>
    <row r="23">
      <c r="B23" s="8" t="inlineStr">
        <is>
          <t>Ký hiệu</t>
        </is>
      </c>
      <c r="C23" s="9" t="inlineStr">
        <is>
          <t>Họ và tên</t>
        </is>
      </c>
      <c r="D23" s="9" t="inlineStr">
        <is>
          <t>Email đăng nhập</t>
        </is>
      </c>
      <c r="E23" s="8" t="inlineStr">
        <is>
          <t>Mật khẩu</t>
        </is>
      </c>
      <c r="F23" s="9" t="inlineStr">
        <is>
          <t>Vai trò / Chức danh</t>
        </is>
      </c>
      <c r="G23" s="9" t="inlineStr">
        <is>
          <t>Nhiệm vụ kiểm thử chính</t>
        </is>
      </c>
    </row>
    <row r="24">
      <c r="B24" s="10" t="inlineStr">
        <is>
          <t>SA</t>
        </is>
      </c>
      <c r="C24" s="11" t="inlineStr">
        <is>
          <t>Platform Superadmin</t>
        </is>
      </c>
      <c r="D24" s="12" t="inlineStr">
        <is>
          <t>superadmin@platform.local</t>
        </is>
      </c>
      <c r="E24" s="12" t="inlineStr">
        <is>
          <t>Mật khẩu Superadmin</t>
        </is>
      </c>
      <c r="F24" s="11" t="inlineStr">
        <is>
          <t>Platform Core</t>
        </is>
      </c>
      <c r="G24" s="11" t="inlineStr">
        <is>
          <t>Quản trị nền tảng, tạo Tenant, cấp quyền module</t>
        </is>
      </c>
    </row>
    <row r="25">
      <c r="B25" s="13" t="inlineStr">
        <is>
          <t>QTV / TGĐ</t>
        </is>
      </c>
      <c r="C25" s="14" t="inlineStr">
        <is>
          <t>Hà Nguyên Hoàng</t>
        </is>
      </c>
      <c r="D25" s="15" t="inlineStr">
        <is>
          <t>ha.nguyen.hoang@savina.local</t>
        </is>
      </c>
      <c r="E25" s="15" t="inlineStr">
        <is>
          <t>ha.nguyen.hoang@savina.local</t>
        </is>
      </c>
      <c r="F25" s="14" t="inlineStr">
        <is>
          <t>Tổng Giám đốc kiêm QTV SAVINA</t>
        </is>
      </c>
      <c r="G25" s="14" t="inlineStr">
        <is>
          <t>Quản trị toàn quyền Tenant SAVINA &amp; Phê duyệt cấp cao</t>
        </is>
      </c>
    </row>
    <row r="26">
      <c r="B26" s="10" t="inlineStr">
        <is>
          <t>KT</t>
        </is>
      </c>
      <c r="C26" s="11" t="inlineStr">
        <is>
          <t>Trương Quang Bảo Vương</t>
        </is>
      </c>
      <c r="D26" s="12" t="inlineStr">
        <is>
          <t>truong.quang.bao.vuong@savina.local</t>
        </is>
      </c>
      <c r="E26" s="12" t="inlineStr">
        <is>
          <t>Savina-Member-Demo-2026</t>
        </is>
      </c>
      <c r="F26" s="11" t="inlineStr">
        <is>
          <t>Phó phòng Kỹ thuật - Dịch vụ</t>
        </is>
      </c>
      <c r="G26" s="11" t="inlineStr">
        <is>
          <t>Kỹ sư kỹ thuật, điều phối thiết bị, tạo việc</t>
        </is>
      </c>
    </row>
    <row r="27">
      <c r="B27" s="13" t="inlineStr">
        <is>
          <t>TN</t>
        </is>
      </c>
      <c r="C27" s="14" t="inlineStr">
        <is>
          <t>Nguyễn Tấn Thịnh</t>
        </is>
      </c>
      <c r="D27" s="15" t="inlineStr">
        <is>
          <t>nguyen.tan.thinh@savina.local</t>
        </is>
      </c>
      <c r="E27" s="15" t="inlineStr">
        <is>
          <t>Savina-Member-Demo-2026</t>
        </is>
      </c>
      <c r="F27" s="14" t="inlineStr">
        <is>
          <t>Trưởng phòng Thí nghiệm</t>
        </is>
      </c>
      <c r="G27" s="14" t="inlineStr">
        <is>
          <t>Phê duyệt chuyên môn, kiêm Thủ kho &amp; Vận hành</t>
        </is>
      </c>
    </row>
    <row r="28">
      <c r="B28" s="10" t="inlineStr">
        <is>
          <t>KT-TC</t>
        </is>
      </c>
      <c r="C28" s="11" t="inlineStr">
        <is>
          <t>Trần Thúy Uyên</t>
        </is>
      </c>
      <c r="D28" s="12" t="inlineStr">
        <is>
          <t>tran.thuy.uyen@savina.local</t>
        </is>
      </c>
      <c r="E28" s="12" t="inlineStr">
        <is>
          <t>Savina-Member-Demo-2026</t>
        </is>
      </c>
      <c r="F28" s="11" t="inlineStr">
        <is>
          <t>Kế toán trưởng</t>
        </is>
      </c>
      <c r="G28" s="11" t="inlineStr">
        <is>
          <t>Kế toán trưởng, kiểm soát chi phí &amp; duyệt tài chính</t>
        </is>
      </c>
    </row>
    <row r="29">
      <c r="B29" s="13" t="inlineStr">
        <is>
          <t>TV</t>
        </is>
      </c>
      <c r="C29" s="14" t="inlineStr">
        <is>
          <t>Nguyễn Vũ Bảo Cường</t>
        </is>
      </c>
      <c r="D29" s="15" t="inlineStr">
        <is>
          <t>nguyen.vu.bao.cuong@savina.local</t>
        </is>
      </c>
      <c r="E29" s="15" t="inlineStr">
        <is>
          <t>Savina-Member-Demo-2026</t>
        </is>
      </c>
      <c r="F29" s="14" t="inlineStr">
        <is>
          <t>Phó Giám đốc Trung tâm Tư vấn</t>
        </is>
      </c>
      <c r="G29" s="14" t="inlineStr">
        <is>
          <t>Đơn vị tư vấn, thẩm tra kỹ thuật</t>
        </is>
      </c>
    </row>
    <row r="30">
      <c r="B30" s="10" t="inlineStr">
        <is>
          <t>HCTH</t>
        </is>
      </c>
      <c r="C30" s="11" t="inlineStr">
        <is>
          <t>Nguyễn Trần Như Quỳnh</t>
        </is>
      </c>
      <c r="D30" s="12" t="inlineStr">
        <is>
          <t>nguyen.tran.nhu.quynh@savina.local</t>
        </is>
      </c>
      <c r="E30" s="12" t="inlineStr">
        <is>
          <t>Savina-Member-Demo-2026</t>
        </is>
      </c>
      <c r="F30" s="11" t="inlineStr">
        <is>
          <t>Trưởng phòng Hành chính - Tổng hợp</t>
        </is>
      </c>
      <c r="G30" s="11" t="inlineStr">
        <is>
          <t>Quản trị hành chính, cấp phát dụng cụ</t>
        </is>
      </c>
    </row>
    <row r="31">
      <c r="B31" s="13" t="inlineStr">
        <is>
          <t>NV-1</t>
        </is>
      </c>
      <c r="C31" s="14" t="inlineStr">
        <is>
          <t>Bùi Công Quyền</t>
        </is>
      </c>
      <c r="D31" s="15" t="inlineStr">
        <is>
          <t>bui.cong.quyen@savina.local</t>
        </is>
      </c>
      <c r="E31" s="15" t="inlineStr">
        <is>
          <t>Savina-Member-Demo-2026</t>
        </is>
      </c>
      <c r="F31" s="14" t="inlineStr">
        <is>
          <t>Nhân viên thí nghiệm (Phòng TN)</t>
        </is>
      </c>
      <c r="G31" s="14" t="inlineStr">
        <is>
          <t>Kỹ thuật viên hiện trường thực thi subtask E(x)</t>
        </is>
      </c>
    </row>
    <row r="32">
      <c r="B32" s="10" t="inlineStr">
        <is>
          <t>NV-2</t>
        </is>
      </c>
      <c r="C32" s="11" t="inlineStr">
        <is>
          <t>Phan Đức Thắng</t>
        </is>
      </c>
      <c r="D32" s="12" t="inlineStr">
        <is>
          <t>phan.duc.thang@savina.local</t>
        </is>
      </c>
      <c r="E32" s="12" t="inlineStr">
        <is>
          <t>Savina-Member-Demo-2026</t>
        </is>
      </c>
      <c r="F32" s="11" t="inlineStr">
        <is>
          <t>Nhân viên thí nghiệm (Phòng TN)</t>
        </is>
      </c>
      <c r="G32" s="11" t="inlineStr">
        <is>
          <t>Kỹ thuật viên phối hợp thực thi subtask</t>
        </is>
      </c>
    </row>
  </sheetData>
  <mergeCells count="8">
    <mergeCell ref="C13:F13"/>
    <mergeCell ref="C18:F18"/>
    <mergeCell ref="C17:F17"/>
    <mergeCell ref="C20:F20"/>
    <mergeCell ref="C16:F16"/>
    <mergeCell ref="C15:F15"/>
    <mergeCell ref="C19:F19"/>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36"/>
  <sheetViews>
    <sheetView showGridLines="1" workbookViewId="0">
      <selection activeCell="A1" sqref="A1"/>
    </sheetView>
  </sheetViews>
  <sheetFormatPr baseColWidth="8" defaultRowHeight="15"/>
  <cols>
    <col width="3" customWidth="1" min="1" max="1"/>
    <col width="16" customWidth="1" min="2" max="2"/>
    <col width="10" customWidth="1" min="3" max="3"/>
    <col width="24" customWidth="1" min="4" max="4"/>
    <col width="46" customWidth="1" min="5" max="5"/>
    <col width="54" customWidth="1" min="6" max="6"/>
    <col width="24" customWidth="1" min="7" max="7"/>
  </cols>
  <sheetData>
    <row r="2">
      <c r="B2" s="1" t="inlineStr">
        <is>
          <t>BẢNG THEO DÕI KỊCH BẢN KIỂM THỬ CHI TIẾT (CHECKLIST &amp; TEST CASES)</t>
        </is>
      </c>
    </row>
    <row r="3">
      <c r="B3" s="2" t="inlineStr">
        <is>
          <t>Hướng dẫn: Tick ô Checkbox hoặc chọn trạng thái Đạt (Pass) / Lỗi (Fail) / Chưa test tại cột B. Tiến độ sẽ tự động tính toán.</t>
        </is>
      </c>
    </row>
    <row r="4">
      <c r="B4" s="8" t="inlineStr">
        <is>
          <t>Trạng thái</t>
        </is>
      </c>
      <c r="C4" s="8" t="inlineStr">
        <is>
          <t>#</t>
        </is>
      </c>
      <c r="D4" s="9" t="inlineStr">
        <is>
          <t>Ai thực hiện</t>
        </is>
      </c>
      <c r="E4" s="9" t="inlineStr">
        <is>
          <t>Thao tác trên giao diện</t>
        </is>
      </c>
      <c r="F4" s="9" t="inlineStr">
        <is>
          <t>Kết quả mong đợi</t>
        </is>
      </c>
      <c r="G4" s="9" t="inlineStr">
        <is>
          <t>Ghi chú / Bug ID</t>
        </is>
      </c>
    </row>
    <row r="5" ht="22" customHeight="1">
      <c r="B5" s="16" t="inlineStr">
        <is>
          <t>Chưa test</t>
        </is>
      </c>
      <c r="C5" s="17" t="inlineStr">
        <is>
          <t>MỤC Danh sách tài khoản thử nghiệm</t>
        </is>
      </c>
      <c r="D5" s="18" t="n"/>
      <c r="E5" s="18" t="n"/>
      <c r="F5" s="18" t="n"/>
      <c r="G5" s="19" t="n"/>
    </row>
    <row r="6" ht="26" customHeight="1">
      <c r="B6" s="20" t="inlineStr"/>
      <c r="C6" s="21" t="inlineStr">
        <is>
          <t>1. QUẢN TRỊ NỀN TẢNG (PLATFORM SUPERADMIN CORE)</t>
        </is>
      </c>
      <c r="D6" s="18" t="n"/>
      <c r="E6" s="18" t="n"/>
      <c r="F6" s="18" t="n"/>
      <c r="G6" s="19" t="n"/>
    </row>
    <row r="7" ht="22" customHeight="1">
      <c r="B7" s="16" t="inlineStr">
        <is>
          <t>Chưa test</t>
        </is>
      </c>
      <c r="C7" s="17" t="inlineStr">
        <is>
          <t>MỤC 1.1 — Quản lý Danh sách Tenant &amp; Cấp phát Database Cô lập</t>
        </is>
      </c>
      <c r="D7" s="18" t="n"/>
      <c r="E7" s="18" t="n"/>
      <c r="F7" s="18" t="n"/>
      <c r="G7" s="19" t="n"/>
    </row>
    <row r="8">
      <c r="B8" s="13" t="inlineStr">
        <is>
          <t>Chưa test</t>
        </is>
      </c>
      <c r="C8" s="13" t="inlineStr">
        <is>
          <t>1.1.1</t>
        </is>
      </c>
      <c r="D8" s="22" t="inlineStr">
        <is>
          <t>SA · Superadmin</t>
        </is>
      </c>
      <c r="E8" s="23" t="inlineStr">
        <is>
          <t>Truy cập /platform/login và đăng nhập bằng tài khoản superadmin@platform.local</t>
        </is>
      </c>
      <c r="F8" s="23" t="inlineStr">
        <is>
          <t>Đăng nhập thành công, chuyển hướng vào /platform. Hiển thị dải thống kê: Tổng số Tenant, Đang hoạt động, Đã khóa, Số DB đã cấu hình.</t>
        </is>
      </c>
      <c r="G8" s="23" t="inlineStr"/>
    </row>
    <row r="9">
      <c r="B9" s="10" t="inlineStr">
        <is>
          <t>Chưa test</t>
        </is>
      </c>
      <c r="C9" s="10" t="inlineStr">
        <is>
          <t>1.1.2</t>
        </is>
      </c>
      <c r="D9" s="24" t="inlineStr">
        <is>
          <t>SA · Superadmin</t>
        </is>
      </c>
      <c r="E9" s="25" t="inlineStr">
        <is>
          <t>Gõ savina vào thanh tìm kiếm tenant</t>
        </is>
      </c>
      <c r="F9" s="25" t="inlineStr">
        <is>
          <t>Bảng kết quả lọc ngay còn 1 dòng Tenant SAVINA với mã slug savina, email admin và tên DB riêng.</t>
        </is>
      </c>
      <c r="G9" s="25" t="inlineStr"/>
    </row>
    <row r="10">
      <c r="B10" s="13" t="inlineStr">
        <is>
          <t>Chưa test</t>
        </is>
      </c>
      <c r="C10" s="13" t="inlineStr">
        <is>
          <t>1.1.3</t>
        </is>
      </c>
      <c r="D10" s="22" t="inlineStr">
        <is>
          <t>SA · Superadmin</t>
        </is>
      </c>
      <c r="E10" s="23" t="inlineStr">
        <is>
          <t>Lọc trạng thái theo dropdown: chọn Đã khóa (Disabled)</t>
        </is>
      </c>
      <c r="F10" s="23" t="inlineStr">
        <is>
          <t>Bảng chỉ hiển thị danh sách các tenant đang bị khóa. Đổi lại Tất cả.</t>
        </is>
      </c>
      <c r="G10" s="23" t="inlineStr"/>
    </row>
    <row r="11">
      <c r="B11" s="10" t="inlineStr">
        <is>
          <t>Chưa test</t>
        </is>
      </c>
      <c r="C11" s="10" t="inlineStr">
        <is>
          <t>1.1.4</t>
        </is>
      </c>
      <c r="D11" s="24" t="inlineStr">
        <is>
          <t>SA · Superadmin</t>
        </is>
      </c>
      <c r="E11" s="25" t="inlineStr">
        <is>
          <t>Bấm nút + Tạo Tenant mới</t>
        </is>
      </c>
      <c r="F11" s="25" t="inlineStr">
        <is>
          <t>Dialog TenantCreateDialog mở ra với các trường: Tên doanh nghiệp, Mã slug, Email Admin, Mật khẩu, Cấu hình PostgreSQL Database riêng.</t>
        </is>
      </c>
      <c r="G11" s="25" t="inlineStr"/>
    </row>
    <row r="12">
      <c r="B12" s="13" t="inlineStr">
        <is>
          <t>Chưa test</t>
        </is>
      </c>
      <c r="C12" s="13" t="inlineStr">
        <is>
          <t>1.1.5</t>
        </is>
      </c>
      <c r="D12" s="22" t="inlineStr">
        <is>
          <t>SA · Superadmin</t>
        </is>
      </c>
      <c r="E12" s="23" t="inlineStr">
        <is>
          <t>Nhập tên Công ty Thử Nghiệm Alpha, slug alpha-test, email admin@alpha.local, mật khẩu hợp lệ → Bấm Tạo Tenant</t>
        </is>
      </c>
      <c r="F12" s="23" t="inlineStr">
        <is>
          <t>Hệ thống gọi API provisioning, khởi tạo DB riêng cho tenant mới. Tenant xuất hiện trong bảng với trạng thái active.</t>
        </is>
      </c>
      <c r="G12" s="23" t="inlineStr"/>
    </row>
    <row r="13">
      <c r="B13" s="10" t="inlineStr">
        <is>
          <t>Chưa test</t>
        </is>
      </c>
      <c r="C13" s="10" t="inlineStr">
        <is>
          <t>1.1.6</t>
        </is>
      </c>
      <c r="D13" s="24" t="inlineStr">
        <is>
          <t>SA · Superadmin</t>
        </is>
      </c>
      <c r="E13" s="25" t="inlineStr">
        <is>
          <t>Tại dòng Tenant alpha-test, bấm menu hành động → chọn Khóa Tenant</t>
        </is>
      </c>
      <c r="F13" s="25" t="inlineStr">
        <is>
          <t>Popconfirm xác nhận. Sau khi xác nhận, badge chuyển sang disabled. Thử mở tab ẩn danh vào /t/alpha-test/login → Bị chặn đăng nhập.</t>
        </is>
      </c>
      <c r="G13" s="25" t="inlineStr"/>
    </row>
    <row r="14">
      <c r="B14" s="13" t="inlineStr">
        <is>
          <t>Chưa test</t>
        </is>
      </c>
      <c r="C14" s="13" t="inlineStr">
        <is>
          <t>1.1.7</t>
        </is>
      </c>
      <c r="D14" s="22" t="inlineStr">
        <is>
          <t>SA · Superadmin</t>
        </is>
      </c>
      <c r="E14" s="23" t="inlineStr">
        <is>
          <t>Bấm Kích hoạt lại cho Tenant alpha-test</t>
        </is>
      </c>
      <c r="F14" s="23" t="inlineStr">
        <is>
          <t>Trạng thái chuyển lại active. Đăng nhập lại bình thường.</t>
        </is>
      </c>
      <c r="G14" s="23" t="inlineStr"/>
    </row>
    <row r="15">
      <c r="B15" s="10" t="inlineStr">
        <is>
          <t>Chưa test</t>
        </is>
      </c>
      <c r="C15" s="10" t="inlineStr">
        <is>
          <t>1.1.8</t>
        </is>
      </c>
      <c r="D15" s="24" t="inlineStr">
        <is>
          <t>SA · Superadmin</t>
        </is>
      </c>
      <c r="E15" s="25" t="inlineStr">
        <is>
          <t>Bấm Tạo liên kết đặt lại mật khẩu cho Admin của tenant</t>
        </is>
      </c>
      <c r="F15" s="25" t="inlineStr">
        <is>
          <t>Hiển thị Drawer chứa đường link reset password có token dùng một lần và thời hạn cụ thể (15–30 phút).</t>
        </is>
      </c>
      <c r="G15" s="25" t="inlineStr"/>
    </row>
    <row r="16" ht="22" customHeight="1">
      <c r="B16" s="16" t="inlineStr">
        <is>
          <t>Chưa test</t>
        </is>
      </c>
      <c r="C16" s="17" t="inlineStr">
        <is>
          <t>MỤC 1.2 — Phân quyền &amp; Quản lý Hạn mức Module (Entitlements)</t>
        </is>
      </c>
      <c r="D16" s="18" t="n"/>
      <c r="E16" s="18" t="n"/>
      <c r="F16" s="18" t="n"/>
      <c r="G16" s="19" t="n"/>
    </row>
    <row r="17">
      <c r="B17" s="13" t="inlineStr">
        <is>
          <t>Chưa test</t>
        </is>
      </c>
      <c r="C17" s="13" t="inlineStr">
        <is>
          <t>1.2.1</t>
        </is>
      </c>
      <c r="D17" s="22" t="inlineStr">
        <is>
          <t>SA · Superadmin</t>
        </is>
      </c>
      <c r="E17" s="23" t="inlineStr">
        <is>
          <t>Bấm vào tên tenant SAVINA (hoặc mở /platform/tenants/[tenantId])</t>
        </is>
      </c>
      <c r="F17" s="23" t="inlineStr">
        <is>
          <t>Mở trang Chi tiết Tenant: xem danh sách các module được cấp quyền (Procedure, Maintenance, Inventory, CRM).</t>
        </is>
      </c>
      <c r="G17" s="23" t="inlineStr"/>
    </row>
    <row r="18">
      <c r="B18" s="10" t="inlineStr">
        <is>
          <t>Chưa test</t>
        </is>
      </c>
      <c r="C18" s="10" t="inlineStr">
        <is>
          <t>1.2.2</t>
        </is>
      </c>
      <c r="D18" s="24" t="inlineStr">
        <is>
          <t>SA · Superadmin</t>
        </is>
      </c>
      <c r="E18" s="25" t="inlineStr">
        <is>
          <t>Xem trạng thái các module của SAVINA</t>
        </is>
      </c>
      <c r="F18" s="25" t="inlineStr">
        <is>
          <t>Các module cốt lõi đều hiển thị Active kèm trạng thái schema migration tương ứng (procedure_schema, maintenance_schema, inventory_schema).</t>
        </is>
      </c>
      <c r="G18" s="25" t="inlineStr"/>
    </row>
    <row r="19">
      <c r="B19" s="13" t="inlineStr">
        <is>
          <t>Chưa test</t>
        </is>
      </c>
      <c r="C19" s="13" t="inlineStr">
        <is>
          <t>1.2.3</t>
        </is>
      </c>
      <c r="D19" s="22" t="inlineStr">
        <is>
          <t>SA · Superadmin</t>
        </is>
      </c>
      <c r="E19" s="23" t="inlineStr">
        <is>
          <t>Thử tạm ngưng (Suspend) module CRM trên tenant</t>
        </is>
      </c>
      <c r="F19" s="23" t="inlineStr">
        <is>
          <t>Trạng thái module CRM đổi sang Suspended. Người dùng tenant bấm vào CRM sẽ nhận thông báo module chưa được kích hoạt hoặc bị tạm ngưng.</t>
        </is>
      </c>
      <c r="G19" s="23" t="inlineStr"/>
    </row>
    <row r="20">
      <c r="B20" s="10" t="inlineStr">
        <is>
          <t>Chưa test</t>
        </is>
      </c>
      <c r="C20" s="10" t="inlineStr">
        <is>
          <t>1.2.4</t>
        </is>
      </c>
      <c r="D20" s="24" t="inlineStr">
        <is>
          <t>SA · Superadmin</t>
        </is>
      </c>
      <c r="E20" s="25" t="inlineStr">
        <is>
          <t>Kích hoạt lại module CRM</t>
        </is>
      </c>
      <c r="F20" s="25" t="inlineStr">
        <is>
          <t>Trạng thái trở về Active.</t>
        </is>
      </c>
      <c r="G20" s="25" t="inlineStr"/>
    </row>
    <row r="21" ht="26" customHeight="1">
      <c r="B21" s="20" t="inlineStr"/>
      <c r="C21" s="21" t="inlineStr">
        <is>
          <t>2. MODULE KHO &amp; VẬT TƯ (INVENTORY)</t>
        </is>
      </c>
      <c r="D21" s="18" t="n"/>
      <c r="E21" s="18" t="n"/>
      <c r="F21" s="18" t="n"/>
      <c r="G21" s="19" t="n"/>
    </row>
    <row r="22" ht="22" customHeight="1">
      <c r="B22" s="16" t="inlineStr">
        <is>
          <t>Chưa test</t>
        </is>
      </c>
      <c r="C22" s="17" t="inlineStr">
        <is>
          <t>MỤC 2.1 — Tổng quan (Dashboard) &amp; Cảnh báo Tồn an toàn</t>
        </is>
      </c>
      <c r="D22" s="18" t="n"/>
      <c r="E22" s="18" t="n"/>
      <c r="F22" s="18" t="n"/>
      <c r="G22" s="19" t="n"/>
    </row>
    <row r="23">
      <c r="B23" s="13" t="inlineStr">
        <is>
          <t>Chưa test</t>
        </is>
      </c>
      <c r="C23" s="13" t="inlineStr">
        <is>
          <t>2.1.1</t>
        </is>
      </c>
      <c r="D23" s="22" t="inlineStr">
        <is>
          <t>TN · Nguyễn Tấn Thịnh</t>
        </is>
      </c>
      <c r="E23" s="23" t="inlineStr">
        <is>
          <t>Truy cập /modules/inventory, chọn mục Tổng quan (#dashboard)</t>
        </is>
      </c>
      <c r="F23" s="23" t="inlineStr">
        <is>
          <t>Hiển thị Dashboard lưới thẻ: Tổng giá trị kho vật tư, Số mặt hàng dưới định mức tồn an toàn, Số phiếu đặt trước (Reservations), Lịch sử nhập xuất gần nhất.</t>
        </is>
      </c>
      <c r="G23" s="23" t="inlineStr"/>
    </row>
    <row r="24">
      <c r="B24" s="10" t="inlineStr">
        <is>
          <t>Chưa test</t>
        </is>
      </c>
      <c r="C24" s="10" t="inlineStr">
        <is>
          <t>2.1.2</t>
        </is>
      </c>
      <c r="D24" s="24" t="inlineStr">
        <is>
          <t>TN · Nguyễn Tấn Thịnh</t>
        </is>
      </c>
      <c r="E24" s="25" t="inlineStr">
        <is>
          <t>Bấm vào thẻ *Mặt hàng dưới định mức tồn an toàn*</t>
        </is>
      </c>
      <c r="F24" s="25" t="inlineStr">
        <is>
          <t>Hệ thống lọc nhanh danh sách các mặt hàng có tồn khả dụng nhỏ hơn tồn tối thiểu (minStock).</t>
        </is>
      </c>
      <c r="G24" s="25" t="inlineStr"/>
    </row>
    <row r="25">
      <c r="B25" s="13" t="inlineStr">
        <is>
          <t>Chưa test</t>
        </is>
      </c>
      <c r="C25" s="13" t="inlineStr">
        <is>
          <t>2.1.3</t>
        </is>
      </c>
      <c r="D25" s="22" t="inlineStr">
        <is>
          <t>TN · Nguyễn Tấn Thịnh</t>
        </is>
      </c>
      <c r="E25" s="23" t="inlineStr">
        <is>
          <t>Vào Cài đặt (#settings) → chỉnh sửa cấu hình thẻ Tổng quan</t>
        </is>
      </c>
      <c r="F25" s="23" t="inlineStr">
        <is>
          <t>Bật/tắt thẻ hoặc sắp xếp lại bố cục lưới thẻ bằng DashboardCardPicker.</t>
        </is>
      </c>
      <c r="G25" s="23" t="inlineStr"/>
    </row>
    <row r="26" ht="22" customHeight="1">
      <c r="B26" s="16" t="inlineStr">
        <is>
          <t>Chưa test</t>
        </is>
      </c>
      <c r="C26" s="17" t="inlineStr">
        <is>
          <t>MỤC 2.2 — Quản lý Danh mục Hợp nhất &amp; Chi tiết Vật tư / Thiết bị (`Kho &amp; Danh mục`)</t>
        </is>
      </c>
      <c r="D26" s="18" t="n"/>
      <c r="E26" s="18" t="n"/>
      <c r="F26" s="18" t="n"/>
      <c r="G26" s="19" t="n"/>
    </row>
    <row r="27">
      <c r="B27" s="10" t="inlineStr">
        <is>
          <t>Chưa test</t>
        </is>
      </c>
      <c r="C27" s="10" t="inlineStr">
        <is>
          <t>2.2.1</t>
        </is>
      </c>
      <c r="D27" s="24" t="inlineStr">
        <is>
          <t>TN · Nguyễn Tấn Thịnh</t>
        </is>
      </c>
      <c r="E27" s="25" t="inlineStr">
        <is>
          <t>Chọn menu Kho &amp; Danh mục (#stock)</t>
        </is>
      </c>
      <c r="F27" s="25" t="inlineStr">
        <is>
          <t>Hiển thị bảng dữ liệu hợp nhất (Tài sản &amp; Vật tư). Các cột: Mã, Tên, Đơn vị tính, Kho lưu trữ, Tồn vật lý, Tồn khả dụng, Tồn giữ chỗ, Tình trạng. Thấy các mặt hàng thực tế: VT-DAU-MBA (tồn 1.250 Lít ở KHO-VT), VT-SU-24KV (84 Cái ở KHO-VT, 30 Cái ở KHO-DP), VT-SILICA (145 Kg), VT-GANG-CD (24 Đôi ở KHO-TB).</t>
        </is>
      </c>
      <c r="G27" s="25" t="inlineStr"/>
    </row>
    <row r="28">
      <c r="B28" s="13" t="inlineStr">
        <is>
          <t>Chưa test</t>
        </is>
      </c>
      <c r="C28" s="13" t="inlineStr">
        <is>
          <t>2.2.2</t>
        </is>
      </c>
      <c r="D28" s="22" t="inlineStr">
        <is>
          <t>TN · Nguyễn Tấn Thịnh</t>
        </is>
      </c>
      <c r="E28" s="23" t="inlineStr">
        <is>
          <t>Gõ tìm kiếm DAU-MBA</t>
        </is>
      </c>
      <c r="F28" s="23" t="inlineStr">
        <is>
          <t>Bảng lọc còn đúng mặt hàng Dầu cách điện máy biến áp (VT-DAU-MBA), đơn vị Lít, tồn 1.250 tại KHO-VT.</t>
        </is>
      </c>
      <c r="G28" s="23" t="inlineStr"/>
    </row>
    <row r="29">
      <c r="B29" s="10" t="inlineStr">
        <is>
          <t>Chưa test</t>
        </is>
      </c>
      <c r="C29" s="10" t="inlineStr">
        <is>
          <t>2.2.3</t>
        </is>
      </c>
      <c r="D29" s="24" t="inlineStr">
        <is>
          <t>TN · Nguyễn Tấn Thịnh</t>
        </is>
      </c>
      <c r="E29" s="25" t="inlineStr">
        <is>
          <t>Bấm vào dòng vật tư VT-DAU-MBA</t>
        </is>
      </c>
      <c r="F29" s="25" t="inlineStr">
        <is>
          <t>Drawer ItemProfileDialog mở ra: Thông tin quy cách, đơn giá tiêu chuẩn 68.000đ, định mức tồn min 200 / max 2.000, lịch sử biến động.</t>
        </is>
      </c>
      <c r="G29" s="25" t="inlineStr"/>
    </row>
    <row r="30">
      <c r="B30" s="13" t="inlineStr">
        <is>
          <t>Chưa test</t>
        </is>
      </c>
      <c r="C30" s="13" t="inlineStr">
        <is>
          <t>2.2.4</t>
        </is>
      </c>
      <c r="D30" s="22" t="inlineStr">
        <is>
          <t>TN · Nguyễn Tấn Thịnh</t>
        </is>
      </c>
      <c r="E30" s="23" t="inlineStr">
        <is>
          <t>Bấm nút + Tạo vật tư / Thiết bị mới</t>
        </is>
      </c>
      <c r="F30" s="23" t="inlineStr">
        <is>
          <t>Form tạo mới mở ra. Để trống ô Mã vật tư rồi bấm Lưu → Bị chặn tại Client, báo lỗi yêu cầu nhập mã.</t>
        </is>
      </c>
      <c r="G30" s="23" t="inlineStr"/>
    </row>
    <row r="31">
      <c r="B31" s="10" t="inlineStr">
        <is>
          <t>Chưa test</t>
        </is>
      </c>
      <c r="C31" s="10" t="inlineStr">
        <is>
          <t>2.2.5</t>
        </is>
      </c>
      <c r="D31" s="24" t="inlineStr">
        <is>
          <t>TN · Nguyễn Tấn Thịnh</t>
        </is>
      </c>
      <c r="E31" s="25" t="inlineStr">
        <is>
          <t>Điền đầy đủ: Mã VT-GIOANG-MBA, Tên Bộ gioăng chịu dầu MBA, ĐVT Bộ, Kho KHO-VT, Đơn giá 1.500.000đ, Tồn tối thiểu 5 → Bấm Lưu</t>
        </is>
      </c>
      <c r="F31" s="25" t="inlineStr">
        <is>
          <t>Tạo thành công. Mặt hàng mới hiển thị trong bảng với tồn kho bằng 0.</t>
        </is>
      </c>
      <c r="G31" s="25" t="inlineStr"/>
    </row>
    <row r="32">
      <c r="B32" s="13" t="inlineStr">
        <is>
          <t>Chưa test</t>
        </is>
      </c>
      <c r="C32" s="13" t="inlineStr">
        <is>
          <t>2.2.6</t>
        </is>
      </c>
      <c r="D32" s="22" t="inlineStr">
        <is>
          <t>TN · Nguyễn Tấn Thịnh</t>
        </is>
      </c>
      <c r="E32" s="23" t="inlineStr">
        <is>
          <t>Thử sửa thông tin đơn giá hoặc thời hạn bảo hành của một vật tư</t>
        </is>
      </c>
      <c r="F32" s="23" t="inlineStr">
        <is>
          <t>Cập nhật thành công, dữ liệu mới hiển thị ngay trên bảng.</t>
        </is>
      </c>
      <c r="G32" s="23" t="inlineStr"/>
    </row>
    <row r="33" ht="22" customHeight="1">
      <c r="B33" s="16" t="inlineStr">
        <is>
          <t>Chưa test</t>
        </is>
      </c>
      <c r="C33" s="17" t="inlineStr">
        <is>
          <t>MỤC 2.3 — Quản lý Kho Vật lý &amp; Định vị Thiết bị (Warehouses)</t>
        </is>
      </c>
      <c r="D33" s="18" t="n"/>
      <c r="E33" s="18" t="n"/>
      <c r="F33" s="18" t="n"/>
      <c r="G33" s="19" t="n"/>
    </row>
    <row r="34">
      <c r="B34" s="10" t="inlineStr">
        <is>
          <t>Chưa test</t>
        </is>
      </c>
      <c r="C34" s="10" t="inlineStr">
        <is>
          <t>2.3.1</t>
        </is>
      </c>
      <c r="D34" s="24" t="inlineStr">
        <is>
          <t>TN · Nguyễn Tấn Thịnh</t>
        </is>
      </c>
      <c r="E34" s="25" t="inlineStr">
        <is>
          <t>Tại menu Cài đặt Kho, mở công cụ quản lý kho (WarehouseEditor)</t>
        </is>
      </c>
      <c r="F34" s="25" t="inlineStr">
        <is>
          <t>Hiển thị danh mục các kho thực tế: KHO-VT (Kho Vật tư Trung tâm — Tầng hầm B1), KHO-TB (Kho Thiết bị Thí nghiệm — Tầng 1), KHO-DP (Kho Dự phòng Miền Nam).</t>
        </is>
      </c>
      <c r="G34" s="25" t="inlineStr"/>
    </row>
    <row r="35">
      <c r="B35" s="13" t="inlineStr">
        <is>
          <t>Chưa test</t>
        </is>
      </c>
      <c r="C35" s="13" t="inlineStr">
        <is>
          <t>2.3.2</t>
        </is>
      </c>
      <c r="D35" s="22" t="inlineStr">
        <is>
          <t>TN · Nguyễn Tấn Thịnh</t>
        </is>
      </c>
      <c r="E35" s="23" t="inlineStr">
        <is>
          <t>Bấm + Thêm kho mới: Mã KHO-HOACHAT, Tên Kho Hoá chất &amp; Dầu nhờn, Địa điểm Gian phụ trạm 110kV → Lưu</t>
        </is>
      </c>
      <c r="F35" s="23" t="inlineStr">
        <is>
          <t>Kho mới được tạo thành công và xuất hiện trong dropdown chọn kho ở các màn hình nhập xuất.</t>
        </is>
      </c>
      <c r="G35" s="23" t="inlineStr"/>
    </row>
    <row r="36" ht="22" customHeight="1">
      <c r="B36" s="16" t="inlineStr">
        <is>
          <t>Chưa test</t>
        </is>
      </c>
      <c r="C36" s="17" t="inlineStr">
        <is>
          <t>MỤC 2.4 — Quản lý Chi tiết Serial Thiết bị / Linh kiện (Serial Panel)</t>
        </is>
      </c>
      <c r="D36" s="18" t="n"/>
      <c r="E36" s="18" t="n"/>
      <c r="F36" s="18" t="n"/>
      <c r="G36" s="19" t="n"/>
    </row>
    <row r="37">
      <c r="B37" s="10" t="inlineStr">
        <is>
          <t>Chưa test</t>
        </is>
      </c>
      <c r="C37" s="10" t="inlineStr">
        <is>
          <t>2.4.1</t>
        </is>
      </c>
      <c r="D37" s="24" t="inlineStr">
        <is>
          <t>TN · Nguyễn Tấn Thịnh</t>
        </is>
      </c>
      <c r="E37" s="25" t="inlineStr">
        <is>
          <t>Tại chi tiết mặt hàng Đồng hồ đo áp lực dầu (TB-DH-APLUC), mở tab Danh sách Serial</t>
        </is>
      </c>
      <c r="F37" s="25" t="inlineStr">
        <is>
          <t>Hiển thị danh sách các số Serial đã đăng ký cùng trạng thái (Trong kho, Đang lắp đặt, Đang sửa chữa).</t>
        </is>
      </c>
      <c r="G37" s="25" t="inlineStr"/>
    </row>
    <row r="38">
      <c r="B38" s="13" t="inlineStr">
        <is>
          <t>Chưa test</t>
        </is>
      </c>
      <c r="C38" s="13" t="inlineStr">
        <is>
          <t>2.4.2</t>
        </is>
      </c>
      <c r="D38" s="22" t="inlineStr">
        <is>
          <t>TN · Nguyễn Tấn Thịnh</t>
        </is>
      </c>
      <c r="E38" s="23" t="inlineStr">
        <is>
          <t>Bấm Đăng ký Serial mới: Nhập danh sách SN-APLUC-003, SN-APLUC-004</t>
        </is>
      </c>
      <c r="F38" s="23" t="inlineStr">
        <is>
          <t>Hệ thống cập nhật danh sách serial, tổng số lượng thiết bị có serial tăng tương ứng.</t>
        </is>
      </c>
      <c r="G38" s="23" t="inlineStr"/>
    </row>
    <row r="39">
      <c r="B39" s="10" t="inlineStr">
        <is>
          <t>Chưa test</t>
        </is>
      </c>
      <c r="C39" s="10" t="inlineStr">
        <is>
          <t>2.4.3</t>
        </is>
      </c>
      <c r="D39" s="24" t="inlineStr">
        <is>
          <t>TN · Nguyễn Tấn Thịnh</t>
        </is>
      </c>
      <c r="E39" s="25" t="inlineStr">
        <is>
          <t>Thử đăng ký một mã Serial đã tồn tại trước đó</t>
        </is>
      </c>
      <c r="F39" s="25" t="inlineStr">
        <is>
          <t>Bị chặn, hệ thống cảnh báo trùng số Serial.</t>
        </is>
      </c>
      <c r="G39" s="25" t="inlineStr"/>
    </row>
    <row r="40" ht="22" customHeight="1">
      <c r="B40" s="16" t="inlineStr">
        <is>
          <t>Chưa test</t>
        </is>
      </c>
      <c r="C40" s="17" t="inlineStr">
        <is>
          <t>MỤC 2.5 — Giao dịch Nhập kho (Receipt) &amp; Kiểm soát Hóa đơn / Chứng từ</t>
        </is>
      </c>
      <c r="D40" s="18" t="n"/>
      <c r="E40" s="18" t="n"/>
      <c r="F40" s="18" t="n"/>
      <c r="G40" s="19" t="n"/>
    </row>
    <row r="41">
      <c r="B41" s="13" t="inlineStr">
        <is>
          <t>Chưa test</t>
        </is>
      </c>
      <c r="C41" s="13" t="inlineStr">
        <is>
          <t>2.5.1</t>
        </is>
      </c>
      <c r="D41" s="22" t="inlineStr">
        <is>
          <t>TN · Nguyễn Tấn Thịnh</t>
        </is>
      </c>
      <c r="E41" s="23" t="inlineStr">
        <is>
          <t>Chọn menu Giao dịch &amp; Nhập xuất (#transactions) → bấm nút Nhập kho</t>
        </is>
      </c>
      <c r="F41" s="23" t="inlineStr">
        <is>
          <t>Form nhập kho mở ra.</t>
        </is>
      </c>
      <c r="G41" s="23" t="inlineStr"/>
    </row>
    <row r="42">
      <c r="B42" s="10" t="inlineStr">
        <is>
          <t>Chưa test</t>
        </is>
      </c>
      <c r="C42" s="10" t="inlineStr">
        <is>
          <t>2.5.2</t>
        </is>
      </c>
      <c r="D42" s="24" t="inlineStr">
        <is>
          <t>TN · Nguyễn Tấn Thịnh</t>
        </is>
      </c>
      <c r="E42" s="25" t="inlineStr">
        <is>
          <t>Chọn Kho nhận KHO-VT, thêm mặt hàng VT-DAU-MBA, số lượng 500 Lít, đơn giá 68.000đ, Số chứng từ/HĐ HD-2026-0901, Ghi chú Nhập lô dầu dự phòng đợt 2 → Bấm Xác nhận nhập kho</t>
        </is>
      </c>
      <c r="F42" s="25" t="inlineStr">
        <is>
          <t>Thông báo thành công kèm mã giao dịch TXN-REC-…. Tồn thực tế của VT-DAU-MBA tăng từ 1.250 lên 1.750 Lít.</t>
        </is>
      </c>
      <c r="G42" s="25" t="inlineStr"/>
    </row>
    <row r="43">
      <c r="B43" s="13" t="inlineStr">
        <is>
          <t>Chưa test</t>
        </is>
      </c>
      <c r="C43" s="13" t="inlineStr">
        <is>
          <t>2.5.3</t>
        </is>
      </c>
      <c r="D43" s="22" t="inlineStr">
        <is>
          <t>TN · Nguyễn Tấn Thịnh</t>
        </is>
      </c>
      <c r="E43" s="23" t="inlineStr">
        <is>
          <t>Kiểm tra tồn kho tại tab #stock</t>
        </is>
      </c>
      <c r="F43" s="23" t="inlineStr">
        <is>
          <t>Số lượng tồn thực tế và tồn khả dụng đều được cập nhật tăng 500 Lít ngay lập tức (tổng 1.750 Lít).</t>
        </is>
      </c>
      <c r="G43" s="23" t="inlineStr"/>
    </row>
    <row r="44" ht="22" customHeight="1">
      <c r="B44" s="16" t="inlineStr">
        <is>
          <t>Chưa test</t>
        </is>
      </c>
      <c r="C44" s="17" t="inlineStr">
        <is>
          <t>MỤC 2.6 — Giao dịch Xuất kho (Issue) &amp; Chặn Xuất Âm</t>
        </is>
      </c>
      <c r="D44" s="18" t="n"/>
      <c r="E44" s="18" t="n"/>
      <c r="F44" s="18" t="n"/>
      <c r="G44" s="19" t="n"/>
    </row>
    <row r="45">
      <c r="B45" s="10" t="inlineStr">
        <is>
          <t>Chưa test</t>
        </is>
      </c>
      <c r="C45" s="10" t="inlineStr">
        <is>
          <t>2.6.1</t>
        </is>
      </c>
      <c r="D45" s="24" t="inlineStr">
        <is>
          <t>TN · Nguyễn Tấn Thịnh</t>
        </is>
      </c>
      <c r="E45" s="25" t="inlineStr">
        <is>
          <t>Chọn menu Giao dịch &amp; Nhập xuất → bấm nút Xuất kho</t>
        </is>
      </c>
      <c r="F45" s="25" t="inlineStr">
        <is>
          <t>Form xuất kho mở ra.</t>
        </is>
      </c>
      <c r="G45" s="25" t="inlineStr"/>
    </row>
    <row r="46">
      <c r="B46" s="13" t="inlineStr">
        <is>
          <t>Chưa test</t>
        </is>
      </c>
      <c r="C46" s="13" t="inlineStr">
        <is>
          <t>2.6.2</t>
        </is>
      </c>
      <c r="D46" s="22" t="inlineStr">
        <is>
          <t>TN · Nguyễn Tấn Thịnh</t>
        </is>
      </c>
      <c r="E46" s="23" t="inlineStr">
        <is>
          <t>Chọn kho xuất KHO-VT, chọn mặt hàng VT-GIOANG-MBA (tồn hiện tại = 0), nhập số lượng xuất 5</t>
        </is>
      </c>
      <c r="F46" s="23" t="inlineStr">
        <is>
          <t>Nút xác nhận bị vô hiệu hóa kèm cảnh báo đỏ nổi bật: *"Số lượng xuất (5) vượt quá tồn kho khả dụng (0)"*. Tuyệt đối không cho xuất âm.</t>
        </is>
      </c>
      <c r="G46" s="23" t="inlineStr"/>
    </row>
    <row r="47">
      <c r="B47" s="10" t="inlineStr">
        <is>
          <t>Chưa test</t>
        </is>
      </c>
      <c r="C47" s="10" t="inlineStr">
        <is>
          <t>2.6.3</t>
        </is>
      </c>
      <c r="D47" s="24" t="inlineStr">
        <is>
          <t>TN · Nguyễn Tấn Thịnh</t>
        </is>
      </c>
      <c r="E47" s="25" t="inlineStr">
        <is>
          <t>Đổi sang mặt hàng VT-DAU-MBA (tồn khả dụng &gt; 1.000), nhập số lượng xuất 50 Lít, lý do Xuất bổ sung buồng dầu phụ MBA-T1 → Bấm Xác nhận xuất kho</t>
        </is>
      </c>
      <c r="F47" s="25" t="inlineStr">
        <is>
          <t>Xuất kho thành công, sinh mã phiếu TXN-ISSUE-…. Tồn kho giảm đi đúng 50 Lít.</t>
        </is>
      </c>
      <c r="G47" s="25" t="inlineStr"/>
    </row>
    <row r="48" ht="22" customHeight="1">
      <c r="B48" s="16" t="inlineStr">
        <is>
          <t>Chưa test</t>
        </is>
      </c>
      <c r="C48" s="17" t="inlineStr">
        <is>
          <t>MỤC 2.7 — Giao dịch Chuyển kho Nội bộ (Transfer)</t>
        </is>
      </c>
      <c r="D48" s="18" t="n"/>
      <c r="E48" s="18" t="n"/>
      <c r="F48" s="18" t="n"/>
      <c r="G48" s="19" t="n"/>
    </row>
    <row r="49">
      <c r="B49" s="13" t="inlineStr">
        <is>
          <t>Chưa test</t>
        </is>
      </c>
      <c r="C49" s="13" t="inlineStr">
        <is>
          <t>2.7.1</t>
        </is>
      </c>
      <c r="D49" s="22" t="inlineStr">
        <is>
          <t>TN · Nguyễn Tấn Thịnh</t>
        </is>
      </c>
      <c r="E49" s="23" t="inlineStr">
        <is>
          <t>Chọn menu Giao dịch &amp; Nhập xuất → bấm nút Chuyển kho</t>
        </is>
      </c>
      <c r="F49" s="23" t="inlineStr">
        <is>
          <t>Form chuyển kho mở ra.</t>
        </is>
      </c>
      <c r="G49" s="23" t="inlineStr"/>
    </row>
    <row r="50">
      <c r="B50" s="10" t="inlineStr">
        <is>
          <t>Chưa test</t>
        </is>
      </c>
      <c r="C50" s="10" t="inlineStr">
        <is>
          <t>2.7.2</t>
        </is>
      </c>
      <c r="D50" s="24" t="inlineStr">
        <is>
          <t>TN · Nguyễn Tấn Thịnh</t>
        </is>
      </c>
      <c r="E50" s="25" t="inlineStr">
        <is>
          <t>Chọn Kho nguồn KHO-VT, Kho đích KHO-TB, chọn vật tư VT-SU-24KV, số lượng 10 Cái (tồn KHO-VT đang có 84) → Bấm Xác nhận chuyển kho</t>
        </is>
      </c>
      <c r="F50" s="25" t="inlineStr">
        <is>
          <t>Chuyển kho thành công. KHO-VT giảm 10, KHO-TB tăng 10. Tổng lượng tồn toàn hệ thống được bảo toàn.</t>
        </is>
      </c>
      <c r="G50" s="25" t="inlineStr"/>
    </row>
    <row r="51" ht="22" customHeight="1">
      <c r="B51" s="16" t="inlineStr">
        <is>
          <t>Chưa test</t>
        </is>
      </c>
      <c r="C51" s="17" t="inlineStr">
        <is>
          <t>MỤC 2.8 — Tiếp nhận Yêu cầu Vật tư từ Quy trình (Requisitions / Xuất theo Work Order)</t>
        </is>
      </c>
      <c r="D51" s="18" t="n"/>
      <c r="E51" s="18" t="n"/>
      <c r="F51" s="18" t="n"/>
      <c r="G51" s="19" t="n"/>
    </row>
    <row r="52">
      <c r="B52" s="13" t="inlineStr">
        <is>
          <t>Chưa test</t>
        </is>
      </c>
      <c r="C52" s="13" t="inlineStr">
        <is>
          <t>2.8.1</t>
        </is>
      </c>
      <c r="D52" s="22" t="inlineStr">
        <is>
          <t>TN · Nguyễn Tấn Thịnh</t>
        </is>
      </c>
      <c r="E52" s="23" t="inlineStr">
        <is>
          <t>Tại menu Giao dịch, xem thẻ Yêu cầu vật tư từ Quy trình (Procedure Requisitions Card)</t>
        </is>
      </c>
      <c r="F52" s="23" t="inlineStr">
        <is>
          <t>Hiển thị danh sách các đề xuất mượn/xuất vật tư được tạo từ các bước của Module Quy trình (kèm mã hồ sơ PR-…, tên quy trình, danh sách vật tư cần xuất).</t>
        </is>
      </c>
      <c r="G52" s="23" t="inlineStr"/>
    </row>
    <row r="53">
      <c r="B53" s="10" t="inlineStr">
        <is>
          <t>Chưa test</t>
        </is>
      </c>
      <c r="C53" s="10" t="inlineStr">
        <is>
          <t>2.8.2</t>
        </is>
      </c>
      <c r="D53" s="24" t="inlineStr">
        <is>
          <t>TN · Nguyễn Tấn Thịnh</t>
        </is>
      </c>
      <c r="E53" s="25" t="inlineStr">
        <is>
          <t>Chọn một yêu cầu vật tư đơn lẻ → Bấm Xuất kho theo phiếu</t>
        </is>
      </c>
      <c r="F53" s="25" t="inlineStr">
        <is>
          <t>Form xuất kho tự động điền sẵn mã vật tư, số lượng yêu cầu và trích dẫn mã hồ sơ quy trình. Thủ kho chỉ cần kiểm tra kho thực xuất và bấm Xác nhận.</t>
        </is>
      </c>
      <c r="G53" s="25" t="inlineStr"/>
    </row>
    <row r="54">
      <c r="B54" s="13" t="inlineStr">
        <is>
          <t>Chưa test</t>
        </is>
      </c>
      <c r="C54" s="13" t="inlineStr">
        <is>
          <t>2.8.3</t>
        </is>
      </c>
      <c r="D54" s="22" t="inlineStr">
        <is>
          <t>TN · Nguyễn Tấn Thịnh</t>
        </is>
      </c>
      <c r="E54" s="23" t="inlineStr">
        <is>
          <t>Chọn một yêu cầu gồm nhiều loại vật tư (Bộ bảng kê) → Bấm Xuất hàng loạt (Batch Requisition)</t>
        </is>
      </c>
      <c r="F54" s="23" t="inlineStr">
        <is>
          <t>Modal BatchRequisitionModal mở ra hiển thị toàn bộ danh mục vật tư cần xuất. Thủ kho xác nhận xuất tất cả chỉ với 1 thao tác.</t>
        </is>
      </c>
      <c r="G54" s="23" t="inlineStr"/>
    </row>
    <row r="55">
      <c r="B55" s="10" t="inlineStr">
        <is>
          <t>Chưa test</t>
        </is>
      </c>
      <c r="C55" s="10" t="inlineStr">
        <is>
          <t>2.8.4</t>
        </is>
      </c>
      <c r="D55" s="24" t="inlineStr">
        <is>
          <t>TN · Nguyễn Tấn Thịnh</t>
        </is>
      </c>
      <c r="E55" s="25" t="inlineStr">
        <is>
          <t>Kiểm tra lại danh sách yêu cầu</t>
        </is>
      </c>
      <c r="F55" s="25" t="inlineStr">
        <is>
          <t>Yêu cầu đã xuất được đánh dấu hoàn tất (Fulfilled) và tự động ẩn khỏi danh sách chờ.</t>
        </is>
      </c>
      <c r="G55" s="25" t="inlineStr"/>
    </row>
    <row r="56" ht="22" customHeight="1">
      <c r="B56" s="16" t="inlineStr">
        <is>
          <t>Chưa test</t>
        </is>
      </c>
      <c r="C56" s="17" t="inlineStr">
        <is>
          <t>MỤC 2.9 — Cây Tài sản &amp; Lắp đặt / Tháo dỡ Linh kiện (Asset Tree &amp; BOM)</t>
        </is>
      </c>
      <c r="D56" s="18" t="n"/>
      <c r="E56" s="18" t="n"/>
      <c r="F56" s="18" t="n"/>
      <c r="G56" s="19" t="n"/>
    </row>
    <row r="57">
      <c r="B57" s="13" t="inlineStr">
        <is>
          <t>Chưa test</t>
        </is>
      </c>
      <c r="C57" s="13" t="inlineStr">
        <is>
          <t>2.9.1</t>
        </is>
      </c>
      <c r="D57" s="22" t="inlineStr">
        <is>
          <t>TN · Nguyễn Tấn Thịnh</t>
        </is>
      </c>
      <c r="E57" s="23" t="inlineStr">
        <is>
          <t>Chọn menu Cây tài sản (#assets)</t>
        </is>
      </c>
      <c r="F57" s="23" t="inlineStr">
        <is>
          <t>Hiển thị cây cấu trúc tài sản theo mô hình: TBA-110 (Trạm biến áp 110kV Savina) &gt; TBA-110-NGAN1 (Ngăn lộ 110kV số 1) &gt; MBA-T1 (Máy biến áp lực T1 — 40MVA) và MC-901 (Máy cắt 22kV lộ 901).</t>
        </is>
      </c>
      <c r="G57" s="23" t="inlineStr"/>
    </row>
    <row r="58">
      <c r="B58" s="10" t="inlineStr">
        <is>
          <t>Chưa test</t>
        </is>
      </c>
      <c r="C58" s="10" t="inlineStr">
        <is>
          <t>2.9.2</t>
        </is>
      </c>
      <c r="D58" s="24" t="inlineStr">
        <is>
          <t>TN · Nguyễn Tấn Thịnh</t>
        </is>
      </c>
      <c r="E58" s="25" t="inlineStr">
        <is>
          <t>Chọn thiết bị MBA-T1 → bấm nút Lắp đặt vật tư (Install Material)</t>
        </is>
      </c>
      <c r="F58" s="25" t="inlineStr">
        <is>
          <t>Hộp thoại InstallMaterialDialog mở ra. Chọn vật tư trong kho VT-SU-24KV (Sứ cách điện 24kV), nhập số lượng 1 cái → Xác nhận lắp đặt.</t>
        </is>
      </c>
      <c r="G58" s="25" t="inlineStr"/>
    </row>
    <row r="59">
      <c r="B59" s="13" t="inlineStr">
        <is>
          <t>Chưa test</t>
        </is>
      </c>
      <c r="C59" s="13" t="inlineStr">
        <is>
          <t>2.9.3</t>
        </is>
      </c>
      <c r="D59" s="22" t="inlineStr">
        <is>
          <t>TN · Nguyễn Tấn Thịnh</t>
        </is>
      </c>
      <c r="E59" s="23" t="inlineStr">
        <is>
          <t>Xem danh mục BOM của MBA-T1</t>
        </is>
      </c>
      <c r="F59" s="23" t="inlineStr">
        <is>
          <t>Sứ cách điện 24kV hiển thị trong danh sách phụ tùng đang lắp đặt trên máy. Tồn kho trong kho giảm 1.</t>
        </is>
      </c>
      <c r="G59" s="23" t="inlineStr"/>
    </row>
    <row r="60">
      <c r="B60" s="10" t="inlineStr">
        <is>
          <t>Chưa test</t>
        </is>
      </c>
      <c r="C60" s="10" t="inlineStr">
        <is>
          <t>2.9.4</t>
        </is>
      </c>
      <c r="D60" s="24" t="inlineStr">
        <is>
          <t>TN · Nguyễn Tấn Thịnh</t>
        </is>
      </c>
      <c r="E60" s="25" t="inlineStr">
        <is>
          <t>Bấm nút Tháo dỡ / Hoàn trả kho (Return to Stock) cho một linh kiện vừa tháo</t>
        </is>
      </c>
      <c r="F60" s="25" t="inlineStr">
        <is>
          <t>Hộp thoại ReturnToStockDialog mở ra. Nhập kho nhận KHO-VT và lý do tháo → Linh kiện được gỡ khỏi máy và cộng trả lại vào tồn kho.</t>
        </is>
      </c>
      <c r="G60" s="25" t="inlineStr"/>
    </row>
    <row r="61" ht="22" customHeight="1">
      <c r="B61" s="16" t="inlineStr">
        <is>
          <t>Chưa test</t>
        </is>
      </c>
      <c r="C61" s="17" t="inlineStr">
        <is>
          <t>MỤC 2.10 — Sổ cái Bất biến Kế toán kép (Double-entry Ledger Table)</t>
        </is>
      </c>
      <c r="D61" s="18" t="n"/>
      <c r="E61" s="18" t="n"/>
      <c r="F61" s="18" t="n"/>
      <c r="G61" s="19" t="n"/>
    </row>
    <row r="62">
      <c r="B62" s="13" t="inlineStr">
        <is>
          <t>Chưa test</t>
        </is>
      </c>
      <c r="C62" s="13" t="inlineStr">
        <is>
          <t>2.10.1</t>
        </is>
      </c>
      <c r="D62" s="22" t="inlineStr">
        <is>
          <t>TN · Nguyễn Tấn Thịnh</t>
        </is>
      </c>
      <c r="E62" s="23" t="inlineStr">
        <is>
          <t>Tại menu Giao dịch, cuộn xuống bảng Sổ cái kho (Ledger Table)</t>
        </is>
      </c>
      <c r="F62" s="23" t="inlineStr">
        <is>
          <t>Bảng liệt kê toàn bộ các bút toán giao dịch kho theo thứ tự thời gian mới nhất.</t>
        </is>
      </c>
      <c r="G62" s="23" t="inlineStr"/>
    </row>
    <row r="63">
      <c r="B63" s="10" t="inlineStr">
        <is>
          <t>Chưa test</t>
        </is>
      </c>
      <c r="C63" s="10" t="inlineStr">
        <is>
          <t>2.10.2</t>
        </is>
      </c>
      <c r="D63" s="24" t="inlineStr">
        <is>
          <t>TN · Nguyễn Tấn Thịnh</t>
        </is>
      </c>
      <c r="E63" s="25" t="inlineStr">
        <is>
          <t>Kiểm tra dòng bút toán vừa thực hiện ở các bước trên</t>
        </is>
      </c>
      <c r="F63" s="25" t="inlineStr">
        <is>
          <t>Hiển thị chuẩn xác: Số bút toán, Thời gian, Tài khoản nguồn (Credit: Nhà cung cấp / Kho xuất), Tài khoản đích (Debit: Kho nhận / Chi phí bảo dưỡng), Số lượng, Đơn vị tính và Người lập phiếu. Đảm bảo tính minh bạch và bất biến.</t>
        </is>
      </c>
      <c r="G63" s="25" t="inlineStr"/>
    </row>
    <row r="64" ht="26" customHeight="1">
      <c r="B64" s="20" t="inlineStr"/>
      <c r="C64" s="21" t="inlineStr">
        <is>
          <t>3. MODULE BẢO TRÌ (MAINTENANCE)</t>
        </is>
      </c>
      <c r="D64" s="18" t="n"/>
      <c r="E64" s="18" t="n"/>
      <c r="F64" s="18" t="n"/>
      <c r="G64" s="19" t="n"/>
    </row>
    <row r="65" ht="22" customHeight="1">
      <c r="B65" s="16" t="inlineStr">
        <is>
          <t>Chưa test</t>
        </is>
      </c>
      <c r="C65" s="17" t="inlineStr">
        <is>
          <t>MỤC 3.1 — Tổng quan (Dashboard) &amp; Tùy biến Card Metrics</t>
        </is>
      </c>
      <c r="D65" s="18" t="n"/>
      <c r="E65" s="18" t="n"/>
      <c r="F65" s="18" t="n"/>
      <c r="G65" s="19" t="n"/>
    </row>
    <row r="66">
      <c r="B66" s="13" t="inlineStr">
        <is>
          <t>Chưa test</t>
        </is>
      </c>
      <c r="C66" s="13" t="inlineStr">
        <is>
          <t>3.1.1</t>
        </is>
      </c>
      <c r="D66" s="22" t="inlineStr">
        <is>
          <t>KT · Trương Quang Bảo Vương</t>
        </is>
      </c>
      <c r="E66" s="23" t="inlineStr">
        <is>
          <t>Đăng nhập tài khoản, truy cập /modules/maintenance. Vào mục Tổng quan (#dashboard)</t>
        </is>
      </c>
      <c r="F66" s="23" t="inlineStr">
        <is>
          <t>Hiển thị dải thẻ chỉ số KPI: Tỷ lệ hoàn thành bảo trì, Phiếu bảo trì quá hạn, Số sự cố đang mở, Tổng số lịch định kỳ, Phân bổ khối lượng theo độ ưu tiên.</t>
        </is>
      </c>
      <c r="G66" s="23" t="inlineStr"/>
    </row>
    <row r="67">
      <c r="B67" s="10" t="inlineStr">
        <is>
          <t>Chưa test</t>
        </is>
      </c>
      <c r="C67" s="10" t="inlineStr">
        <is>
          <t>3.1.2</t>
        </is>
      </c>
      <c r="D67" s="24" t="inlineStr">
        <is>
          <t>KT · Trương Quang Bảo Vương</t>
        </is>
      </c>
      <c r="E67" s="25" t="inlineStr">
        <is>
          <t>Vào mục Cài đặt (#settings) → tab Thẻ Tổng quan</t>
        </is>
      </c>
      <c r="F67" s="25" t="inlineStr">
        <is>
          <t>Mở giao diện DashboardCardPicker cho phép cấu hình 10 thẻ đo lường của module Bảo trì.</t>
        </is>
      </c>
      <c r="G67" s="25" t="inlineStr"/>
    </row>
    <row r="68">
      <c r="B68" s="13" t="inlineStr">
        <is>
          <t>Chưa test</t>
        </is>
      </c>
      <c r="C68" s="13" t="inlineStr">
        <is>
          <t>3.1.3</t>
        </is>
      </c>
      <c r="D68" s="22" t="inlineStr">
        <is>
          <t>KT · Trương Quang Bảo Vương</t>
        </is>
      </c>
      <c r="E68" s="23" t="inlineStr">
        <is>
          <t>Thử tắt bớt thẻ *Khối lượng công việc theo mức ưu tiên* và đổi thứ tự thẻ *Phiếu quá hạn* lên đầu → bấm Lưu</t>
        </is>
      </c>
      <c r="F68" s="23" t="inlineStr">
        <is>
          <t>Quay lại tab Tổng quan: Thẻ *Phiếu quá hạn* hiển thị đầu tiên, thẻ bị tắt không còn hiển thị trên lưới.</t>
        </is>
      </c>
      <c r="G68" s="23" t="inlineStr"/>
    </row>
    <row r="69" ht="22" customHeight="1">
      <c r="B69" s="16" t="inlineStr">
        <is>
          <t>Chưa test</t>
        </is>
      </c>
      <c r="C69" s="17" t="inlineStr">
        <is>
          <t>MỤC 3.2 — Ma trận Bảo trì Thiết bị × Tần suất (Maintenance Matrix)</t>
        </is>
      </c>
      <c r="D69" s="18" t="n"/>
      <c r="E69" s="18" t="n"/>
      <c r="F69" s="18" t="n"/>
      <c r="G69" s="19" t="n"/>
    </row>
    <row r="70">
      <c r="B70" s="10" t="inlineStr">
        <is>
          <t>Chưa test</t>
        </is>
      </c>
      <c r="C70" s="10" t="inlineStr">
        <is>
          <t>3.2.1</t>
        </is>
      </c>
      <c r="D70" s="24" t="inlineStr">
        <is>
          <t>KT · Trương Quang Bảo Vương</t>
        </is>
      </c>
      <c r="E70" s="25" t="inlineStr">
        <is>
          <t>Chọn mục Ma trận bảo trì (#matrix)</t>
        </is>
      </c>
      <c r="F70" s="25" t="inlineStr">
        <is>
          <t>Hiển thị bảng ma trận 2 chiều: Các dòng là Thiết bị (MBA-T1, MC-901, MBA-T2, TN-MEGGER...), các cột là Tần suất (Ngày, Tuần, Tháng, Quý, Năm).</t>
        </is>
      </c>
      <c r="G70" s="25" t="inlineStr"/>
    </row>
    <row r="71">
      <c r="B71" s="13" t="inlineStr">
        <is>
          <t>Chưa test</t>
        </is>
      </c>
      <c r="C71" s="13" t="inlineStr">
        <is>
          <t>3.2.2</t>
        </is>
      </c>
      <c r="D71" s="22" t="inlineStr">
        <is>
          <t>KT · Trương Quang Bảo Vương</t>
        </is>
      </c>
      <c r="E71" s="23" t="inlineStr">
        <is>
          <t>Gõ MBA vào thanh tìm kiếm trên ma trận</t>
        </is>
      </c>
      <c r="F71" s="23" t="inlineStr">
        <is>
          <t>Bảng lọc tức thì hiển thị dòng thiết bị Máy biến áp lực T1 (MBA-T1) và Máy biến áp phân phối T2 (MBA-T2).</t>
        </is>
      </c>
      <c r="G71" s="23" t="inlineStr"/>
    </row>
    <row r="72">
      <c r="B72" s="10" t="inlineStr">
        <is>
          <t>Chưa test</t>
        </is>
      </c>
      <c r="C72" s="10" t="inlineStr">
        <is>
          <t>3.2.3</t>
        </is>
      </c>
      <c r="D72" s="24" t="inlineStr">
        <is>
          <t>KT · Trương Quang Bảo Vương</t>
        </is>
      </c>
      <c r="E72" s="25" t="inlineStr">
        <is>
          <t>Bấm vào nút 5 đầu việc (Kho) tại dòng MBA-T1</t>
        </is>
      </c>
      <c r="F72" s="25" t="inlineStr">
        <is>
          <t>Panel trượt mở ra từ cạnh phải hiển thị 5 đầu việc thực tế từ Kho: T1: Kiểm tra mức dầu và rò rỉ (20p), T2: Đo điện trở cách điện (45p), T3: Thay hạt hút ẩm silicagel (30p), T4: Vệ sinh sứ đầu vào (40p), T5: Lấy mẫu dầu gửi thí nghiệm (25p). (URL giữ nguyên tại module Bảo trì).</t>
        </is>
      </c>
      <c r="G72" s="25" t="inlineStr"/>
    </row>
    <row r="73">
      <c r="B73" s="13" t="inlineStr">
        <is>
          <t>Chưa test</t>
        </is>
      </c>
      <c r="C73" s="13" t="inlineStr">
        <is>
          <t>3.2.4</t>
        </is>
      </c>
      <c r="D73" s="22" t="inlineStr">
        <is>
          <t>KT · Trương Quang Bảo Vương</t>
        </is>
      </c>
      <c r="E73" s="23" t="inlineStr">
        <is>
          <t>Bấm nút Sửa trong Kho trong panel đầu việc</t>
        </is>
      </c>
      <c r="F73" s="23" t="inlineStr">
        <is>
          <t>Hệ thống mở tab mới dẫn trực tiếp đến chi tiết thiết bị MBA-T1 tại module Kho.</t>
        </is>
      </c>
      <c r="G73" s="23" t="inlineStr"/>
    </row>
    <row r="74">
      <c r="B74" s="10" t="inlineStr">
        <is>
          <t>Chưa test</t>
        </is>
      </c>
      <c r="C74" s="10" t="inlineStr">
        <is>
          <t>3.2.5</t>
        </is>
      </c>
      <c r="D74" s="24" t="inlineStr">
        <is>
          <t>KT · Trương Quang Bảo Vương</t>
        </is>
      </c>
      <c r="E74" s="25" t="inlineStr">
        <is>
          <t>Bấm dấu tick bật tần suất Quý cho thiết bị MBA-T1, chọn quy trình xử lý QT-BT-MBA, mức ưu tiên Cao (High)</t>
        </is>
      </c>
      <c r="F74" s="25" t="inlineStr">
        <is>
          <t>Ô ma trận chuyển sang trạng thái nháp (draft), nút Lưu thay đổi ma trận sáng lên.</t>
        </is>
      </c>
      <c r="G74" s="25" t="inlineStr"/>
    </row>
    <row r="75">
      <c r="B75" s="13" t="inlineStr">
        <is>
          <t>Chưa test</t>
        </is>
      </c>
      <c r="C75" s="13" t="inlineStr">
        <is>
          <t>3.2.6</t>
        </is>
      </c>
      <c r="D75" s="22" t="inlineStr">
        <is>
          <t>KT · Trương Quang Bảo Vương</t>
        </is>
      </c>
      <c r="E75" s="23" t="inlineStr">
        <is>
          <t>Bấm nút Lưu thay đổi</t>
        </is>
      </c>
      <c r="F75" s="23" t="inlineStr">
        <is>
          <t>Lưu thành công. Ô ma trận hiển thị ngày đến hạn kế tiếp (Next Due) có định dạng MM-DD.</t>
        </is>
      </c>
      <c r="G75" s="23" t="inlineStr"/>
    </row>
    <row r="76">
      <c r="B76" s="10" t="inlineStr">
        <is>
          <t>Chưa test</t>
        </is>
      </c>
      <c r="C76" s="10" t="inlineStr">
        <is>
          <t>3.2.7</t>
        </is>
      </c>
      <c r="D76" s="24" t="inlineStr">
        <is>
          <t>KT · Trương Quang Bảo Vương</t>
        </is>
      </c>
      <c r="E76" s="25" t="inlineStr">
        <is>
          <t>Bấm nút Thêm thiết bị vào ma trận: chọn thiết bị từ danh mục kho chưa có trong ma trận (ví dụ Thiết bị đo cách điện Megger TN-MEGGER)</t>
        </is>
      </c>
      <c r="F76" s="25" t="inlineStr">
        <is>
          <t>Dòng thiết bị mới xuất hiện ngay trên ma trận.</t>
        </is>
      </c>
      <c r="G76" s="25" t="inlineStr"/>
    </row>
    <row r="77">
      <c r="B77" s="13" t="inlineStr">
        <is>
          <t>Chưa test</t>
        </is>
      </c>
      <c r="C77" s="13" t="inlineStr">
        <is>
          <t>3.2.8</t>
        </is>
      </c>
      <c r="D77" s="22" t="inlineStr">
        <is>
          <t>KT · Trương Quang Bảo Vương</t>
        </is>
      </c>
      <c r="E77" s="23" t="inlineStr">
        <is>
          <t>Bấm icon thùng rác (Xoá thiết bị) tại dòng thiết bị vừa thêm</t>
        </is>
      </c>
      <c r="F77" s="23" t="inlineStr">
        <is>
          <t>Popconfirm xuất hiện hỏi xác nhận tại chỗ (không che màn hình). Bấm Đồng ý → Thiết bị được gỡ khỏi ma trận.</t>
        </is>
      </c>
      <c r="G77" s="23" t="inlineStr"/>
    </row>
    <row r="78" ht="22" customHeight="1">
      <c r="B78" s="16" t="inlineStr">
        <is>
          <t>Chưa test</t>
        </is>
      </c>
      <c r="C78" s="17" t="inlineStr">
        <is>
          <t>MỤC 3.3 — Thực hiện Bảo trì Tức thì (Run Maintenance Now)</t>
        </is>
      </c>
      <c r="D78" s="18" t="n"/>
      <c r="E78" s="18" t="n"/>
      <c r="F78" s="18" t="n"/>
      <c r="G78" s="19" t="n"/>
    </row>
    <row r="79">
      <c r="B79" s="10" t="inlineStr">
        <is>
          <t>Chưa test</t>
        </is>
      </c>
      <c r="C79" s="10" t="inlineStr">
        <is>
          <t>3.3.1</t>
        </is>
      </c>
      <c r="D79" s="24" t="inlineStr">
        <is>
          <t>KT · Trương Quang Bảo Vương</t>
        </is>
      </c>
      <c r="E79" s="25" t="inlineStr">
        <is>
          <t>Tại ma trận bảo trì, bấm nút Thực hiện ngay (Run Now) ở ô giao giữa MBA-T1 và tần suất Quý</t>
        </is>
      </c>
      <c r="F79" s="25" t="inlineStr">
        <is>
          <t>Popconfirm xác nhận xuất hiện hỏi: *"Bạn có muốn tạo phiếu bảo trì ngay cho MBA-T1 không?"*.</t>
        </is>
      </c>
      <c r="G79" s="25" t="inlineStr"/>
    </row>
    <row r="80">
      <c r="B80" s="13" t="inlineStr">
        <is>
          <t>Chưa test</t>
        </is>
      </c>
      <c r="C80" s="13" t="inlineStr">
        <is>
          <t>3.3.2</t>
        </is>
      </c>
      <c r="D80" s="22" t="inlineStr">
        <is>
          <t>KT · Trương Quang Bảo Vương</t>
        </is>
      </c>
      <c r="E80" s="23" t="inlineStr">
        <is>
          <t>Bấm Xác nhận</t>
        </is>
      </c>
      <c r="F80" s="23" t="inlineStr">
        <is>
          <t>Hệ thống tạo ngay 1 phiếu bảo trì/work order tức thì không cần chờ đến lịch hẹn. Hiển thị thông báo thành công kèm mã hồ sơ phát sinh.</t>
        </is>
      </c>
      <c r="G80" s="23" t="inlineStr"/>
    </row>
    <row r="81">
      <c r="B81" s="10" t="inlineStr">
        <is>
          <t>Chưa test</t>
        </is>
      </c>
      <c r="C81" s="10" t="inlineStr">
        <is>
          <t>3.3.3</t>
        </is>
      </c>
      <c r="D81" s="24" t="inlineStr">
        <is>
          <t>KT · Trương Quang Bảo Vương</t>
        </is>
      </c>
      <c r="E81" s="25" t="inlineStr">
        <is>
          <t>Sang module Quy trình kiểm tra</t>
        </is>
      </c>
      <c r="F81" s="25" t="inlineStr">
        <is>
          <t>Thấy một hồ sơ bảo trì mới được sinh ra ở đầu danh sách Workspace với thiết bị liên kết là MBA-T1.</t>
        </is>
      </c>
      <c r="G81" s="25" t="inlineStr"/>
    </row>
    <row r="82" ht="22" customHeight="1">
      <c r="B82" s="16" t="inlineStr">
        <is>
          <t>Chưa test</t>
        </is>
      </c>
      <c r="C82" s="17" t="inlineStr">
        <is>
          <t>MỤC 3.4 — Quản lý Lịch Bảo trì Định kỳ (Maintenance Schedules)</t>
        </is>
      </c>
      <c r="D82" s="18" t="n"/>
      <c r="E82" s="18" t="n"/>
      <c r="F82" s="18" t="n"/>
      <c r="G82" s="19" t="n"/>
    </row>
    <row r="83">
      <c r="B83" s="13" t="inlineStr">
        <is>
          <t>Chưa test</t>
        </is>
      </c>
      <c r="C83" s="13" t="inlineStr">
        <is>
          <t>3.4.1</t>
        </is>
      </c>
      <c r="D83" s="22" t="inlineStr">
        <is>
          <t>KT · Trương Quang Bảo Vương</t>
        </is>
      </c>
      <c r="E83" s="23" t="inlineStr">
        <is>
          <t>Chọn mục Lịch bảo trì (#schedules)</t>
        </is>
      </c>
      <c r="F83" s="23" t="inlineStr">
        <is>
          <t>Bảng hiển thị toàn bộ các lịch định kỳ đang kích hoạt: Mã lịch, Thiết bị, Tần suất, Ngày đến hạn tiếp theo, Quy trình liên kết, Đơn vị phụ trách.</t>
        </is>
      </c>
      <c r="G83" s="23" t="inlineStr"/>
    </row>
    <row r="84">
      <c r="B84" s="10" t="inlineStr">
        <is>
          <t>Chưa test</t>
        </is>
      </c>
      <c r="C84" s="10" t="inlineStr">
        <is>
          <t>3.4.2</t>
        </is>
      </c>
      <c r="D84" s="24" t="inlineStr">
        <is>
          <t>KT · Trương Quang Bảo Vương</t>
        </is>
      </c>
      <c r="E84" s="25" t="inlineStr">
        <is>
          <t>Bấm nút + Tạo lịch bảo trì</t>
        </is>
      </c>
      <c r="F84" s="25" t="inlineStr">
        <is>
          <t>Form tạo lịch mở ra. Nhập mã thiết bị giả định không có thật MAY-KHONG-CO rồi bấm Lưu</t>
        </is>
      </c>
      <c r="G84" s="25" t="inlineStr"/>
    </row>
    <row r="85">
      <c r="B85" s="13" t="inlineStr">
        <is>
          <t>Chưa test</t>
        </is>
      </c>
      <c r="C85" s="13" t="inlineStr">
        <is>
          <t>3.4.3</t>
        </is>
      </c>
      <c r="D85" s="22" t="inlineStr">
        <is>
          <t>KT · Trương Quang Bảo Vương</t>
        </is>
      </c>
      <c r="E85" s="23" t="inlineStr">
        <is>
          <t>Chọn đúng thiết bị MBA-T1, tần suất Tháng, đơn vị phụ trách Phòng Kỹ thuật, ngày kích hoạt đầu tiên</t>
        </is>
      </c>
      <c r="F85" s="23" t="inlineStr">
        <is>
          <t>Tạo lịch thành công. Lịch mới hiển thị trong bảng với trạng thái active.</t>
        </is>
      </c>
      <c r="G85" s="23" t="inlineStr"/>
    </row>
    <row r="86">
      <c r="B86" s="10" t="inlineStr">
        <is>
          <t>Chưa test</t>
        </is>
      </c>
      <c r="C86" s="10" t="inlineStr">
        <is>
          <t>3.4.4</t>
        </is>
      </c>
      <c r="D86" s="24" t="inlineStr">
        <is>
          <t>KT · Trương Quang Bảo Vương</t>
        </is>
      </c>
      <c r="E86" s="25" t="inlineStr">
        <is>
          <t>Bấm nút Bỏ qua kỳ này (Skip Next Occurrence) tại lịch vừa tạo, nhập lý do: Thiết bị vừa được đại tu tuần trước</t>
        </is>
      </c>
      <c r="F86" s="25" t="inlineStr">
        <is>
          <t>Trạng thái ghi nhận bỏ qua kỳ. Cột ngày đến hạn tiếp theo tự động cộng thêm 1 chu kỳ tần suất (ví dụ nhảy thêm 1 tháng).</t>
        </is>
      </c>
      <c r="G86" s="25" t="inlineStr"/>
    </row>
    <row r="87">
      <c r="B87" s="13" t="inlineStr">
        <is>
          <t>Chưa test</t>
        </is>
      </c>
      <c r="C87" s="13" t="inlineStr">
        <is>
          <t>3.4.5</t>
        </is>
      </c>
      <c r="D87" s="22" t="inlineStr">
        <is>
          <t>KT · Trương Quang Bảo Vương</t>
        </is>
      </c>
      <c r="E87" s="23" t="inlineStr">
        <is>
          <t>Thử bấm tạm dừng/bật lại lịch bảo trì</t>
        </is>
      </c>
      <c r="F87" s="23" t="inlineStr">
        <is>
          <t>Lịch chuyển trạng thái tương ứng (paused / active).</t>
        </is>
      </c>
      <c r="G87" s="23" t="inlineStr"/>
    </row>
    <row r="88" ht="22" customHeight="1">
      <c r="B88" s="16" t="inlineStr">
        <is>
          <t>Chưa test</t>
        </is>
      </c>
      <c r="C88" s="17" t="inlineStr">
        <is>
          <t>MỤC 3.5 — Khai báo &amp; Xử lý Phiếu Phát sinh / Sự cố (Incidents &amp; Occurrences)</t>
        </is>
      </c>
      <c r="D88" s="18" t="n"/>
      <c r="E88" s="18" t="n"/>
      <c r="F88" s="18" t="n"/>
      <c r="G88" s="19" t="n"/>
    </row>
    <row r="89">
      <c r="B89" s="10" t="inlineStr">
        <is>
          <t>Chưa test</t>
        </is>
      </c>
      <c r="C89" s="10" t="inlineStr">
        <is>
          <t>3.5.1</t>
        </is>
      </c>
      <c r="D89" s="24" t="inlineStr">
        <is>
          <t>KT · Trương Quang Bảo Vương</t>
        </is>
      </c>
      <c r="E89" s="25" t="inlineStr">
        <is>
          <t>Chọn mục Phiếu phát sinh (#occurrences)</t>
        </is>
      </c>
      <c r="F89" s="25" t="inlineStr">
        <is>
          <t>Hiển thị danh sách các phiếu bảo trì đột xuất và sự cố đang chờ xử lý.</t>
        </is>
      </c>
      <c r="G89" s="25" t="inlineStr"/>
    </row>
    <row r="90">
      <c r="B90" s="13" t="inlineStr">
        <is>
          <t>Chưa test</t>
        </is>
      </c>
      <c r="C90" s="13" t="inlineStr">
        <is>
          <t>3.5.2</t>
        </is>
      </c>
      <c r="D90" s="22" t="inlineStr">
        <is>
          <t>KT · Trương Quang Bảo Vương</t>
        </is>
      </c>
      <c r="E90" s="23" t="inlineStr">
        <is>
          <t>Bấm nút + Báo cáo sự cố</t>
        </is>
      </c>
      <c r="F90" s="23" t="inlineStr">
        <is>
          <t>Form IncidentForm hiển thị.</t>
        </is>
      </c>
      <c r="G90" s="23" t="inlineStr"/>
    </row>
    <row r="91">
      <c r="B91" s="10" t="inlineStr">
        <is>
          <t>Chưa test</t>
        </is>
      </c>
      <c r="C91" s="10" t="inlineStr">
        <is>
          <t>3.5.3</t>
        </is>
      </c>
      <c r="D91" s="24" t="inlineStr">
        <is>
          <t>KT · Trương Quang Bảo Vương</t>
        </is>
      </c>
      <c r="E91" s="25" t="inlineStr">
        <is>
          <t>Điền thông tin: Chọn thiết bị MBA-T1, Tiêu đề Sự cố rò rỉ gioăng nắp thùng máy biến áp, Mức độ ưu tiên Cao (High), Quy trình khắc phục QT-BT-MBA → Bấm Gửi sự cố</t>
        </is>
      </c>
      <c r="F91" s="25" t="inlineStr">
        <is>
          <t>Phiếu sự cố tạo thành công với mã INC-2026…, trạng thái Mở (Open). Đồng thời sinh 1 work order bên Quy trình.</t>
        </is>
      </c>
      <c r="G91" s="25" t="inlineStr"/>
    </row>
    <row r="92">
      <c r="B92" s="13" t="inlineStr">
        <is>
          <t>Chưa test</t>
        </is>
      </c>
      <c r="C92" s="13" t="inlineStr">
        <is>
          <t>3.5.4</t>
        </is>
      </c>
      <c r="D92" s="22" t="inlineStr">
        <is>
          <t>KT · Trương Quang Bảo Vương</t>
        </is>
      </c>
      <c r="E92" s="23" t="inlineStr">
        <is>
          <t>Bấm vào chi tiết phiếu phát sinh vừa tạo</t>
        </is>
      </c>
      <c r="F92" s="23" t="inlineStr">
        <is>
          <t>Drawer chi tiết mở ra: Thông tin mô tả, người tạo, liên kết tới hồ sơ quy trình đang xử lý, trạng thái nghiệm thu.</t>
        </is>
      </c>
      <c r="G92" s="23" t="inlineStr"/>
    </row>
    <row r="93">
      <c r="B93" s="10" t="inlineStr">
        <is>
          <t>Chưa test</t>
        </is>
      </c>
      <c r="C93" s="10" t="inlineStr">
        <is>
          <t>3.5.5</t>
        </is>
      </c>
      <c r="D93" s="24" t="inlineStr">
        <is>
          <t>KT · Trương Quang Bảo Vương</t>
        </is>
      </c>
      <c r="E93" s="25" t="inlineStr">
        <is>
          <t>Nghiệm thu phiếu: Khi hồ sơ quy trình hoàn tất, bấm Nghiệm thu hoàn thành phiếu</t>
        </is>
      </c>
      <c r="F93" s="25" t="inlineStr">
        <is>
          <t>Phiếu chuyển trạng thái Hoàn thành (Completed), ghi nhận thời gian kết thúc và người nghiệm thu.</t>
        </is>
      </c>
      <c r="G93" s="25" t="inlineStr"/>
    </row>
    <row r="94" ht="22" customHeight="1">
      <c r="B94" s="16" t="inlineStr">
        <is>
          <t>Chưa test</t>
        </is>
      </c>
      <c r="C94" s="17" t="inlineStr">
        <is>
          <t>MỤC 3.6 — Lịch sử Bảo trì &amp; Bộ lọc Đa tiêu chí (Maintenance History)</t>
        </is>
      </c>
      <c r="D94" s="18" t="n"/>
      <c r="E94" s="18" t="n"/>
      <c r="F94" s="18" t="n"/>
      <c r="G94" s="19" t="n"/>
    </row>
    <row r="95">
      <c r="B95" s="13" t="inlineStr">
        <is>
          <t>Chưa test</t>
        </is>
      </c>
      <c r="C95" s="13" t="inlineStr">
        <is>
          <t>3.6.1</t>
        </is>
      </c>
      <c r="D95" s="22" t="inlineStr">
        <is>
          <t>KT · Trương Quang Bảo Vương</t>
        </is>
      </c>
      <c r="E95" s="23" t="inlineStr">
        <is>
          <t>Chọn mục Lịch sử (#history)</t>
        </is>
      </c>
      <c r="F95" s="23" t="inlineStr">
        <is>
          <t>Bảng lưu vết toàn bộ các đợt bảo trì định kỳ và xử lý sự cố đã đóng.</t>
        </is>
      </c>
      <c r="G95" s="23" t="inlineStr"/>
    </row>
    <row r="96">
      <c r="B96" s="10" t="inlineStr">
        <is>
          <t>Chưa test</t>
        </is>
      </c>
      <c r="C96" s="10" t="inlineStr">
        <is>
          <t>3.6.2</t>
        </is>
      </c>
      <c r="D96" s="24" t="inlineStr">
        <is>
          <t>KT · Trương Quang Bảo Vương</t>
        </is>
      </c>
      <c r="E96" s="25" t="inlineStr">
        <is>
          <t>Lọc theo Thiết bị: Chọn MBA-T1</t>
        </is>
      </c>
      <c r="F96" s="25" t="inlineStr">
        <is>
          <t>Bảng chỉ hiện lịch sử can thiệp liên quan đến MBA-T1.</t>
        </is>
      </c>
      <c r="G96" s="25" t="inlineStr"/>
    </row>
    <row r="97">
      <c r="B97" s="13" t="inlineStr">
        <is>
          <t>Chưa test</t>
        </is>
      </c>
      <c r="C97" s="13" t="inlineStr">
        <is>
          <t>3.6.3</t>
        </is>
      </c>
      <c r="D97" s="22" t="inlineStr">
        <is>
          <t>KT · Trương Quang Bảo Vương</t>
        </is>
      </c>
      <c r="E97" s="23" t="inlineStr">
        <is>
          <t>Lọc kết hợp theo Loại công việc (Định kỳ hoặc Sự cố) và khoảng thời gian</t>
        </is>
      </c>
      <c r="F97" s="23" t="inlineStr">
        <is>
          <t>Kết quả lọc chính xác theo các tiêu chí đã chọn.</t>
        </is>
      </c>
      <c r="G97" s="23" t="inlineStr"/>
    </row>
    <row r="98">
      <c r="B98" s="10" t="inlineStr">
        <is>
          <t>Chưa test</t>
        </is>
      </c>
      <c r="C98" s="10" t="inlineStr">
        <is>
          <t>3.6.4</t>
        </is>
      </c>
      <c r="D98" s="24" t="inlineStr">
        <is>
          <t>KT · Trương Quang Bảo Vương</t>
        </is>
      </c>
      <c r="E98" s="25" t="inlineStr">
        <is>
          <t>Bấm vào một dòng lịch sử</t>
        </is>
      </c>
      <c r="F98" s="25" t="inlineStr">
        <is>
          <t>Drawer mở ra xem chi tiết: Biên bản kiểm định, danh sách người thực hiện, thời gian bắt đầu - kết thúc, mã chứng từ liên quan.</t>
        </is>
      </c>
      <c r="G98" s="25" t="inlineStr"/>
    </row>
    <row r="99" ht="22" customHeight="1">
      <c r="B99" s="16" t="inlineStr">
        <is>
          <t>Chưa test</t>
        </is>
      </c>
      <c r="C99" s="17" t="inlineStr">
        <is>
          <t>MỤC 3.7 — Cài đặt Danh mục Tần suất Động (Frequency Catalog)</t>
        </is>
      </c>
      <c r="D99" s="18" t="n"/>
      <c r="E99" s="18" t="n"/>
      <c r="F99" s="18" t="n"/>
      <c r="G99" s="19" t="n"/>
    </row>
    <row r="100">
      <c r="B100" s="13" t="inlineStr">
        <is>
          <t>Chưa test</t>
        </is>
      </c>
      <c r="C100" s="13" t="inlineStr">
        <is>
          <t>3.7.1</t>
        </is>
      </c>
      <c r="D100" s="22" t="inlineStr">
        <is>
          <t>QTV · Quản trị SAVINA</t>
        </is>
      </c>
      <c r="E100" s="23" t="inlineStr">
        <is>
          <t>Vào menu Cài đặt (#settings) → tab Danh mục tần suất</t>
        </is>
      </c>
      <c r="F100" s="23" t="inlineStr">
        <is>
          <t>Hiển thị bảng cấu hình tần suất động (FrequencyCatalogEditor): Mã, Tên hiển thị, Số ngày tương đương (Interval in days).</t>
        </is>
      </c>
      <c r="G100" s="23" t="inlineStr"/>
    </row>
    <row r="101">
      <c r="B101" s="10" t="inlineStr">
        <is>
          <t>Chưa test</t>
        </is>
      </c>
      <c r="C101" s="10" t="inlineStr">
        <is>
          <t>3.7.2</t>
        </is>
      </c>
      <c r="D101" s="24" t="inlineStr">
        <is>
          <t>QTV · Quản trị SAVINA</t>
        </is>
      </c>
      <c r="E101" s="25" t="inlineStr">
        <is>
          <t>Bấm + Thêm tần suất mới: Mã semi-annual, Tên Bán niên (6 tháng), Số ngày 180 → Bấm Lưu</t>
        </is>
      </c>
      <c r="F101" s="25" t="inlineStr">
        <is>
          <t>Danh mục lưu thành công vào cấu hình module với cơ chế kiểm soát phiên (optimistic locking).</t>
        </is>
      </c>
      <c r="G101" s="25" t="inlineStr"/>
    </row>
    <row r="102">
      <c r="B102" s="13" t="inlineStr">
        <is>
          <t>Chưa test</t>
        </is>
      </c>
      <c r="C102" s="13" t="inlineStr">
        <is>
          <t>3.7.3</t>
        </is>
      </c>
      <c r="D102" s="22" t="inlineStr">
        <is>
          <t>QTV · Quản trị SAVINA</t>
        </is>
      </c>
      <c r="E102" s="23" t="inlineStr">
        <is>
          <t>Quay lại mục Ma trận bảo trì (#matrix)</t>
        </is>
      </c>
      <c r="F102" s="23" t="inlineStr">
        <is>
          <t>Ma trận tự động xuất hiện thêm cột tần suất mới Bán niên (6 tháng) để tick chọn cho thiết bị.</t>
        </is>
      </c>
      <c r="G102" s="23" t="inlineStr"/>
    </row>
    <row r="103" ht="26" customHeight="1">
      <c r="B103" s="20" t="inlineStr"/>
      <c r="C103" s="21" t="inlineStr">
        <is>
          <t>4. MODULE ĐỘNG CƠ QUY TRÌNH (PROCEDURE ENGINE)</t>
        </is>
      </c>
      <c r="D103" s="18" t="n"/>
      <c r="E103" s="18" t="n"/>
      <c r="F103" s="18" t="n"/>
      <c r="G103" s="19" t="n"/>
    </row>
    <row r="104" ht="22" customHeight="1">
      <c r="B104" s="16" t="inlineStr">
        <is>
          <t>Chưa test</t>
        </is>
      </c>
      <c r="C104" s="17" t="inlineStr">
        <is>
          <t>MỤC 4.1 — Tổng quan (Dashboard) &amp; Cảnh báo Vi phạm SLA</t>
        </is>
      </c>
      <c r="D104" s="18" t="n"/>
      <c r="E104" s="18" t="n"/>
      <c r="F104" s="18" t="n"/>
      <c r="G104" s="19" t="n"/>
    </row>
    <row r="105">
      <c r="B105" s="10" t="inlineStr">
        <is>
          <t>Chưa test</t>
        </is>
      </c>
      <c r="C105" s="10" t="inlineStr">
        <is>
          <t>4.1.1</t>
        </is>
      </c>
      <c r="D105" s="24" t="inlineStr">
        <is>
          <t>KT · Trương Quang Bảo Vương</t>
        </is>
      </c>
      <c r="E105" s="25" t="inlineStr">
        <is>
          <t>Truy cập /modules/procedure → vào mục Tổng quan (#dashboard)</t>
        </is>
      </c>
      <c r="F105" s="25" t="inlineStr">
        <is>
          <t>Hiển thị các thẻ chỉ số: Tổng số hồ sơ đang chạy, Hồ sơ chờ tôi duyệt, Hồ sơ quá hạn SLA, Tỷ lệ hoàn tất đúng hạn, Phân bổ theo nhóm quy trình.</t>
        </is>
      </c>
      <c r="G105" s="25" t="inlineStr"/>
    </row>
    <row r="106">
      <c r="B106" s="13" t="inlineStr">
        <is>
          <t>Chưa test</t>
        </is>
      </c>
      <c r="C106" s="13" t="inlineStr">
        <is>
          <t>4.1.2</t>
        </is>
      </c>
      <c r="D106" s="22" t="inlineStr">
        <is>
          <t>KT · Trương Quang Bảo Vương</t>
        </is>
      </c>
      <c r="E106" s="23" t="inlineStr">
        <is>
          <t>Rê chuột vào thẻ cảnh báo SLA</t>
        </is>
      </c>
      <c r="F106" s="23" t="inlineStr">
        <is>
          <t>Hiển thị danh sách các hồ sơ đang bị trễ hạn xử lý với badge màu đỏ.</t>
        </is>
      </c>
      <c r="G106" s="23" t="inlineStr"/>
    </row>
    <row r="107" ht="22" customHeight="1">
      <c r="B107" s="16" t="inlineStr">
        <is>
          <t>Chưa test</t>
        </is>
      </c>
      <c r="C107" s="17" t="inlineStr">
        <is>
          <t>MỤC 4.2 — Workspace, Khởi tạo Hồ sơ &amp; Liên kết Thiết bị Kho</t>
        </is>
      </c>
      <c r="D107" s="18" t="n"/>
      <c r="E107" s="18" t="n"/>
      <c r="F107" s="18" t="n"/>
      <c r="G107" s="19" t="n"/>
    </row>
    <row r="108">
      <c r="B108" s="10" t="inlineStr">
        <is>
          <t>Chưa test</t>
        </is>
      </c>
      <c r="C108" s="10" t="inlineStr">
        <is>
          <t>4.2.1</t>
        </is>
      </c>
      <c r="D108" s="24" t="inlineStr">
        <is>
          <t>KT · Trương Quang Bảo Vương</t>
        </is>
      </c>
      <c r="E108" s="25" t="inlineStr">
        <is>
          <t>Chọn mục Workspace (#workspace). Bấm nút + Tạo hồ sơ</t>
        </is>
      </c>
      <c r="F108" s="25" t="inlineStr">
        <is>
          <t>Form khởi tạo mở ra. Lọc theo nhóm Kỹ thuật - Chuyên môn.</t>
        </is>
      </c>
      <c r="G108" s="25" t="inlineStr"/>
    </row>
    <row r="109">
      <c r="B109" s="13" t="inlineStr">
        <is>
          <t>Chưa test</t>
        </is>
      </c>
      <c r="C109" s="13" t="inlineStr">
        <is>
          <t>4.2.2</t>
        </is>
      </c>
      <c r="D109" s="22" t="inlineStr">
        <is>
          <t>KT · Trương Quang Bảo Vương</t>
        </is>
      </c>
      <c r="E109" s="23" t="inlineStr">
        <is>
          <t>Chọn mẫu quy trình QT-BT-MBA (Bảo trì máy biến áp). Tại ô Thiết bị liên kết, chọn MBA-T1 (dữ liệu đọc từ module Kho). Tiêu đề: Bảo dưỡng lớn và lọc dầu MBA-T1 → Bấm Bắt đầu</t>
        </is>
      </c>
      <c r="F109" s="23" t="inlineStr">
        <is>
          <t>Hồ sơ được khởi tạo với mã PR-2026…. Bước 1 chuyển sang nền xanh 50% (Đang chạy), badge SLA 4h.</t>
        </is>
      </c>
      <c r="G109" s="23" t="inlineStr"/>
    </row>
    <row r="110">
      <c r="B110" s="10" t="inlineStr">
        <is>
          <t>Chưa test</t>
        </is>
      </c>
      <c r="C110" s="10" t="inlineStr">
        <is>
          <t>4.2.3</t>
        </is>
      </c>
      <c r="D110" s="24" t="inlineStr">
        <is>
          <t>KT · Trương Quang Bảo Vương</t>
        </is>
      </c>
      <c r="E110" s="25" t="inlineStr">
        <is>
          <t>Kiểm tra bộ lọc Workspace: Lọc theo Nhóm quy trình, sắp xếp theo thời gian mới nhất / cũ nhất</t>
        </is>
      </c>
      <c r="F110" s="25" t="inlineStr">
        <is>
          <t>Bảng hồ sơ lọc và sắp xếp mượt mà, phân trang hiển thị rõ ràng 1–20 trên N.</t>
        </is>
      </c>
      <c r="G110" s="25" t="inlineStr"/>
    </row>
    <row r="111" ht="22" customHeight="1">
      <c r="B111" s="16" t="inlineStr">
        <is>
          <t>Chưa test</t>
        </is>
      </c>
      <c r="C111" s="17" t="inlineStr">
        <is>
          <t>MỤC 4.3 — Tương tác Thảo luận Thời gian thực (@Mention) &amp; Quản lý Tệp đính kèm</t>
        </is>
      </c>
      <c r="D111" s="18" t="n"/>
      <c r="E111" s="18" t="n"/>
      <c r="F111" s="18" t="n"/>
      <c r="G111" s="19" t="n"/>
    </row>
    <row r="112">
      <c r="B112" s="13" t="inlineStr">
        <is>
          <t>Chưa test</t>
        </is>
      </c>
      <c r="C112" s="13" t="inlineStr">
        <is>
          <t>4.3.1</t>
        </is>
      </c>
      <c r="D112" s="22" t="inlineStr">
        <is>
          <t>KT · Trương Quang Bảo Vương</t>
        </is>
      </c>
      <c r="E112" s="23" t="inlineStr">
        <is>
          <t>Mở hồ sơ vừa tạo, chuyển sang tab Trao đổi (Chat Panel)</t>
        </is>
      </c>
      <c r="F112" s="23" t="inlineStr">
        <is>
          <t>Gõ tin nhắn: @Nguyen Tan Thinh nhờ anh Thí nghiệm chuẩn bị nhân sự và dụng cụ đo. Bấm gửi → Tin nhắn xuất hiện ngay, tên người được nhắc được highlight tô đậm.</t>
        </is>
      </c>
      <c r="G112" s="23" t="inlineStr"/>
    </row>
    <row r="113">
      <c r="B113" s="10" t="inlineStr">
        <is>
          <t>Chưa test</t>
        </is>
      </c>
      <c r="C113" s="10" t="inlineStr">
        <is>
          <t>4.3.2</t>
        </is>
      </c>
      <c r="D113" s="24" t="inlineStr">
        <is>
          <t>KT · Trương Quang Bảo Vương</t>
        </is>
      </c>
      <c r="E113" s="25" t="inlineStr">
        <is>
          <t>Chuyển sang tab Tệp đính kèm (Attachment Panel): Tải lên file ảnh hiện trường hien-truong.jpg</t>
        </is>
      </c>
      <c r="F113" s="25" t="inlineStr">
        <is>
          <t>File tải lên thành công, hiển thị tên file, dung lượng, người tải và mốc thời gian.</t>
        </is>
      </c>
      <c r="G113" s="25" t="inlineStr"/>
    </row>
    <row r="114">
      <c r="B114" s="13" t="inlineStr">
        <is>
          <t>Chưa test</t>
        </is>
      </c>
      <c r="C114" s="13" t="inlineStr">
        <is>
          <t>4.3.3</t>
        </is>
      </c>
      <c r="D114" s="22" t="inlineStr">
        <is>
          <t>KT · Trương Quang Bảo Vương</t>
        </is>
      </c>
      <c r="E114" s="23" t="inlineStr">
        <is>
          <t>Thử tải lên file thực thi cấm (script.exe hoặc setup.bat)</t>
        </is>
      </c>
      <c r="F114" s="23" t="inlineStr">
        <is>
          <t>Bị chặn ngay tại Client với thông báo: *"Định dạng tệp không được phép"*.</t>
        </is>
      </c>
      <c r="G114" s="23" t="inlineStr"/>
    </row>
    <row r="115" ht="22" customHeight="1">
      <c r="B115" s="16" t="inlineStr">
        <is>
          <t>Chưa test</t>
        </is>
      </c>
      <c r="C115" s="17" t="inlineStr">
        <is>
          <t>MỤC 4.4 — Tự động Giữ chỗ Vật tư &amp; Phân rã Công việc Tuần tự (Subtasks E)</t>
        </is>
      </c>
      <c r="D115" s="18" t="n"/>
      <c r="E115" s="18" t="n"/>
      <c r="F115" s="18" t="n"/>
      <c r="G115" s="19" t="n"/>
    </row>
    <row r="116">
      <c r="B116" s="10" t="inlineStr">
        <is>
          <t>Chưa test</t>
        </is>
      </c>
      <c r="C116" s="10" t="inlineStr">
        <is>
          <t>4.4.1</t>
        </is>
      </c>
      <c r="D116" s="24" t="inlineStr">
        <is>
          <t>KT · Trương Quang Bảo Vương</t>
        </is>
      </c>
      <c r="E116" s="25" t="inlineStr">
        <is>
          <t>Bấm nút Hoàn thành tại Bước 1</t>
        </is>
      </c>
      <c r="F116" s="25" t="inlineStr">
        <is>
          <t>Bước 1 xanh toàn phần ✓. Chuyển sang Bước 2 (Kiểm tra vật tư &amp; Hiện trường).</t>
        </is>
      </c>
      <c r="G116" s="25" t="inlineStr"/>
    </row>
    <row r="117">
      <c r="B117" s="13" t="inlineStr">
        <is>
          <t>Chưa test</t>
        </is>
      </c>
      <c r="C117" s="13" t="inlineStr">
        <is>
          <t>4.4.2</t>
        </is>
      </c>
      <c r="D117" s="22" t="inlineStr">
        <is>
          <t>TN · Nguyễn Tấn Thịnh</t>
        </is>
      </c>
      <c r="E117" s="23" t="inlineStr">
        <is>
          <t>Đăng nhập tài khoản, mở hồ sơ. Xem khối Vật tư cần cho bước này</t>
        </is>
      </c>
      <c r="F117" s="23" t="inlineStr">
        <is>
          <t>Hệ thống tự động kiểm tồn từ Module Kho: Đã có sẵn 1.250 Lít dầu VT-DAU-MBA và 145 Kg hạt hút ẩm VT-SILICA ở KHO-VT. Hiển thị thông báo xanh: *"Đã giữ hàng trong kho cho bước này — RES-…"*. Tồn khả dụng bên Kho bị trừ tương ứng.</t>
        </is>
      </c>
      <c r="G117" s="23" t="inlineStr"/>
    </row>
    <row r="118">
      <c r="B118" s="10" t="inlineStr">
        <is>
          <t>Chưa test</t>
        </is>
      </c>
      <c r="C118" s="10" t="inlineStr">
        <is>
          <t>4.4.3</t>
        </is>
      </c>
      <c r="D118" s="24" t="inlineStr">
        <is>
          <t>TN · Nguyễn Tấn Thịnh</t>
        </is>
      </c>
      <c r="E118" s="25" t="inlineStr">
        <is>
          <t>Bấm Hoàn thành Bước 2</t>
        </is>
      </c>
      <c r="F118" s="25" t="inlineStr">
        <is>
          <t>Sang Bước 3 (Pha E — Thi công hiện trường).</t>
        </is>
      </c>
      <c r="G118" s="25" t="inlineStr"/>
    </row>
    <row r="119">
      <c r="B119" s="13" t="inlineStr">
        <is>
          <t>Chưa test</t>
        </is>
      </c>
      <c r="C119" s="13" t="inlineStr">
        <is>
          <t>4.4.4</t>
        </is>
      </c>
      <c r="D119" s="22" t="inlineStr">
        <is>
          <t>TN · Nguyễn Tấn Thịnh</t>
        </is>
      </c>
      <c r="E119" s="23" t="inlineStr">
        <is>
          <t>Tại Bước 3, mở tab Phân rã việc: Chọn chế độ Tuần tự (Sequential). Tạo 2 subtask dựa trên task template của MBA-T1: &lt;br&gt;1. *Kiểm tra mức dầu, rò rỉ và thay hạt hút ẩm silicagel* (Giao cho NV-1 - Bùi Công Quyền, yêu cầu đính kèm ảnh). &lt;br&gt;2. *Đo điện trở cách điện cuộn dây và lấy mẫu dầu* (Giao cho NV-2 - Phan Đức Thắng). → Bấm Lưu phân rã</t>
        </is>
      </c>
      <c r="F119" s="23" t="inlineStr">
        <is>
          <t>Hai subtask hiển thị đánh số 1 và 2 kèm tên người phụ trách.</t>
        </is>
      </c>
      <c r="G119" s="23" t="inlineStr"/>
    </row>
    <row r="120">
      <c r="B120" s="10" t="inlineStr">
        <is>
          <t>Chưa test</t>
        </is>
      </c>
      <c r="C120" s="10" t="inlineStr">
        <is>
          <t>4.4.5</t>
        </is>
      </c>
      <c r="D120" s="24" t="inlineStr">
        <is>
          <t>NV-2 · Phan Đức Thắng</t>
        </is>
      </c>
      <c r="E120" s="25" t="inlineStr">
        <is>
          <t>Đăng nhập, mở hồ sơ và bấm Xong ở việc 2</t>
        </is>
      </c>
      <c r="F120" s="25" t="inlineStr">
        <is>
          <t>Bị chặn, thông báo: *"Công việc tuần tự: Phải hoàn thành việc 1 trước"*.</t>
        </is>
      </c>
      <c r="G120" s="25" t="inlineStr"/>
    </row>
    <row r="121">
      <c r="B121" s="13" t="inlineStr">
        <is>
          <t>Chưa test</t>
        </is>
      </c>
      <c r="C121" s="13" t="inlineStr">
        <is>
          <t>4.4.6</t>
        </is>
      </c>
      <c r="D121" s="22" t="inlineStr">
        <is>
          <t>NV-1 · Bùi Công Quyền</t>
        </is>
      </c>
      <c r="E121" s="23" t="inlineStr">
        <is>
          <t>Đăng nhập, mở việc 1 bấm Xong khi chưa đính kèm ảnh</t>
        </is>
      </c>
      <c r="F121" s="23" t="inlineStr">
        <is>
          <t>Bị chặn: *"Yêu cầu tải lên tài liệu/ảnh minh chứng trước khi hoàn thành"*.</t>
        </is>
      </c>
      <c r="G121" s="23" t="inlineStr"/>
    </row>
    <row r="122">
      <c r="B122" s="10" t="inlineStr">
        <is>
          <t>Chưa test</t>
        </is>
      </c>
      <c r="C122" s="10" t="inlineStr">
        <is>
          <t>4.4.7</t>
        </is>
      </c>
      <c r="D122" s="24" t="inlineStr">
        <is>
          <t>NV-1 · Bùi Công Quyền</t>
        </is>
      </c>
      <c r="E122" s="25" t="inlineStr">
        <is>
          <t>Đính kèm ảnh biên bản → Bấm Xong việc 1</t>
        </is>
      </c>
      <c r="F122" s="25" t="inlineStr">
        <is>
          <t>Việc 1 hoàn tất. Thanh tiến độ Bước 3 đạt 50% xanh.</t>
        </is>
      </c>
      <c r="G122" s="25" t="inlineStr"/>
    </row>
    <row r="123">
      <c r="B123" s="13" t="inlineStr">
        <is>
          <t>Chưa test</t>
        </is>
      </c>
      <c r="C123" s="13" t="inlineStr">
        <is>
          <t>4.4.8</t>
        </is>
      </c>
      <c r="D123" s="22" t="inlineStr">
        <is>
          <t>NV-2 · Phan Đức Thắng</t>
        </is>
      </c>
      <c r="E123" s="23" t="inlineStr">
        <is>
          <t>Đăng nhập lại, đính kèm kết quả đo → Bấm Xong việc 2</t>
        </is>
      </c>
      <c r="F123" s="23" t="inlineStr">
        <is>
          <t>Việc 2 hoàn tất. Thanh tiến độ Bước 3 đạt 100% xanh.</t>
        </is>
      </c>
      <c r="G123" s="23" t="inlineStr"/>
    </row>
    <row r="124" ht="22" customHeight="1">
      <c r="B124" s="16" t="inlineStr">
        <is>
          <t>Chưa test</t>
        </is>
      </c>
      <c r="C124" s="17" t="inlineStr">
        <is>
          <t>MỤC 4.5 — Phê duyệt Cấp cao, Cơ chế Trả về (Return) &amp; Tra cứu Hồ sơ Đã đóng</t>
        </is>
      </c>
      <c r="D124" s="18" t="n"/>
      <c r="E124" s="18" t="n"/>
      <c r="F124" s="18" t="n"/>
      <c r="G124" s="19" t="n"/>
    </row>
    <row r="125">
      <c r="B125" s="10" t="inlineStr">
        <is>
          <t>Chưa test</t>
        </is>
      </c>
      <c r="C125" s="10" t="inlineStr">
        <is>
          <t>4.5.1</t>
        </is>
      </c>
      <c r="D125" s="24" t="inlineStr">
        <is>
          <t>TN · Nguyễn Tấn Thịnh</t>
        </is>
      </c>
      <c r="E125" s="25" t="inlineStr">
        <is>
          <t>Nghiệm thu Bước 3, bấm Hoàn thành</t>
        </is>
      </c>
      <c r="F125" s="25" t="inlineStr">
        <is>
          <t>Chuyển sang Bước 4: Pha Phê duyệt của Ban Giám đốc (TGĐ).</t>
        </is>
      </c>
      <c r="G125" s="25" t="inlineStr"/>
    </row>
    <row r="126">
      <c r="B126" s="13" t="inlineStr">
        <is>
          <t>Chưa test</t>
        </is>
      </c>
      <c r="C126" s="13" t="inlineStr">
        <is>
          <t>4.5.2</t>
        </is>
      </c>
      <c r="D126" s="22" t="inlineStr">
        <is>
          <t>TGĐ · Hà Nguyên Hoàng</t>
        </is>
      </c>
      <c r="E126" s="23" t="inlineStr">
        <is>
          <t>Đăng nhập tài khoản, mở hồ sơ xem xét. Bấm nút Trả lại (Return): Chọn trả về Bước 3 kèm ghi chú: Độ cách điện chưa đạt 60kV, yêu cầu lọc lại lần 2</t>
        </is>
      </c>
      <c r="F126" s="23" t="inlineStr">
        <is>
          <t>Hồ sơ lập tức quay về Bước 3. Trạng thái bước đổi sang returned, các subtask được reset. Lịch sử ghi nhận thao tác trả về.</t>
        </is>
      </c>
      <c r="G126" s="23" t="inlineStr"/>
    </row>
    <row r="127">
      <c r="B127" s="10" t="inlineStr">
        <is>
          <t>Chưa test</t>
        </is>
      </c>
      <c r="C127" s="10" t="inlineStr">
        <is>
          <t>4.5.3</t>
        </is>
      </c>
      <c r="D127" s="24" t="inlineStr">
        <is>
          <t>TN, NV-1, NV-2</t>
        </is>
      </c>
      <c r="E127" s="25" t="inlineStr">
        <is>
          <t>Thực hiện lại công việc, cập nhật subtask và bấm Hoàn thành Bước 3</t>
        </is>
      </c>
      <c r="F127" s="25" t="inlineStr">
        <is>
          <t>Hồ sơ quay lại Bước 4 chờ duyệt.</t>
        </is>
      </c>
      <c r="G127" s="25" t="inlineStr"/>
    </row>
    <row r="128">
      <c r="B128" s="13" t="inlineStr">
        <is>
          <t>Chưa test</t>
        </is>
      </c>
      <c r="C128" s="13" t="inlineStr">
        <is>
          <t>4.5.4</t>
        </is>
      </c>
      <c r="D128" s="22" t="inlineStr">
        <is>
          <t>TGĐ · Hà Nguyên Hoàng</t>
        </is>
      </c>
      <c r="E128" s="23" t="inlineStr">
        <is>
          <t>Kiểm tra lại biên bản đạt chuẩn → Bấm Phê duyệt</t>
        </is>
      </c>
      <c r="F128" s="23" t="inlineStr">
        <is>
          <t>Hồ sơ chuyển sang trạng thái Hoàn thành (Completed), toàn bộ các bước xanh 100%.</t>
        </is>
      </c>
      <c r="G128" s="23" t="inlineStr"/>
    </row>
    <row r="129">
      <c r="B129" s="10" t="inlineStr">
        <is>
          <t>Chưa test</t>
        </is>
      </c>
      <c r="C129" s="10" t="inlineStr">
        <is>
          <t>4.5.5</t>
        </is>
      </c>
      <c r="D129" s="24" t="inlineStr">
        <is>
          <t>TN · Nguyễn Tấn Thịnh</t>
        </is>
      </c>
      <c r="E129" s="25" t="inlineStr">
        <is>
          <t>Mở lại hồ sơ đã hoàn thành, vào tab Tệp đính kèm</t>
        </is>
      </c>
      <c r="F129" s="25" t="inlineStr">
        <is>
          <t>Vẫn tải file tài liệu/ảnh về được sau khi hồ sơ đã đóng.</t>
        </is>
      </c>
      <c r="G129" s="25" t="inlineStr"/>
    </row>
    <row r="130" ht="22" customHeight="1">
      <c r="B130" s="16" t="inlineStr">
        <is>
          <t>Chưa test</t>
        </is>
      </c>
      <c r="C130" s="17" t="inlineStr">
        <is>
          <t>MỤC 4.6 — Thiết kế Quy trình &amp; Ma trận Phân quyền RCSI (`Ma trận RCSI`)</t>
        </is>
      </c>
      <c r="D130" s="18" t="n"/>
      <c r="E130" s="18" t="n"/>
      <c r="F130" s="18" t="n"/>
      <c r="G130" s="19" t="n"/>
    </row>
    <row r="131">
      <c r="B131" s="13" t="inlineStr">
        <is>
          <t>Chưa test</t>
        </is>
      </c>
      <c r="C131" s="13" t="inlineStr">
        <is>
          <t>4.6.1</t>
        </is>
      </c>
      <c r="D131" s="22" t="inlineStr">
        <is>
          <t>QTV · Quản trị SAVINA</t>
        </is>
      </c>
      <c r="E131" s="23" t="inlineStr">
        <is>
          <t>Chọn menu Ma trận RCSI (#raci)</t>
        </is>
      </c>
      <c r="F131" s="23" t="inlineStr">
        <is>
          <t>Hiển thị ma trận phân quyền: Cột dọc là Quy trình/Bước, cột ngang là Sơ đồ tổ chức (Đơn vị, Chức danh, Nhân sự).</t>
        </is>
      </c>
      <c r="G131" s="23" t="inlineStr"/>
    </row>
    <row r="132">
      <c r="B132" s="10" t="inlineStr">
        <is>
          <t>Chưa test</t>
        </is>
      </c>
      <c r="C132" s="10" t="inlineStr">
        <is>
          <t>4.6.2</t>
        </is>
      </c>
      <c r="D132" s="24" t="inlineStr">
        <is>
          <t>QTV · Quản trị SAVINA</t>
        </is>
      </c>
      <c r="E132" s="25" t="inlineStr">
        <is>
          <t>Bấm vào tên một quy trình bất kỳ</t>
        </is>
      </c>
      <c r="F132" s="25" t="inlineStr">
        <is>
          <t>Sổ ra các bước chi tiết (dấu + đổi thành −). Bấm lại để thu gọn.</t>
        </is>
      </c>
      <c r="G132" s="25" t="inlineStr"/>
    </row>
    <row r="133">
      <c r="B133" s="13" t="inlineStr">
        <is>
          <t>Chưa test</t>
        </is>
      </c>
      <c r="C133" s="13" t="inlineStr">
        <is>
          <t>4.6.3</t>
        </is>
      </c>
      <c r="D133" s="22" t="inlineStr">
        <is>
          <t>QTV · Quản trị SAVINA</t>
        </is>
      </c>
      <c r="E133" s="23" t="inlineStr">
        <is>
          <t>Thử gán vai S (Support) vào một Khối/Phòng ban</t>
        </is>
      </c>
      <c r="F133" s="23" t="inlineStr">
        <is>
          <t>Toàn bộ thành viên trong phòng ban đó đều được phân vai Hỗ trợ (S).</t>
        </is>
      </c>
      <c r="G133" s="23" t="inlineStr"/>
    </row>
    <row r="134">
      <c r="B134" s="10" t="inlineStr">
        <is>
          <t>Chưa test</t>
        </is>
      </c>
      <c r="C134" s="10" t="inlineStr">
        <is>
          <t>4.6.4</t>
        </is>
      </c>
      <c r="D134" s="24" t="inlineStr">
        <is>
          <t>QTV · Quản trị SAVINA</t>
        </is>
      </c>
      <c r="E134" s="25" t="inlineStr">
        <is>
          <t>Thử gán vai R hoặc A vào một Khối/Phòng ban</t>
        </is>
      </c>
      <c r="F134" s="25" t="inlineStr">
        <is>
          <t>Hệ thống tự động phân giải gán đích danh về Trưởng đơn vị phụ trách khối đó.</t>
        </is>
      </c>
      <c r="G134" s="25" t="inlineStr"/>
    </row>
    <row r="135">
      <c r="B135" s="13" t="inlineStr">
        <is>
          <t>Chưa test</t>
        </is>
      </c>
      <c r="C135" s="13" t="inlineStr">
        <is>
          <t>4.6.5</t>
        </is>
      </c>
      <c r="D135" s="22" t="inlineStr">
        <is>
          <t>QTV · Quản trị SAVINA</t>
        </is>
      </c>
      <c r="E135" s="23" t="inlineStr">
        <is>
          <t>Xem sơ đồ cơ cấu tại mục Sơ đồ tổ chức (#org-chart)</t>
        </is>
      </c>
      <c r="F135" s="23" t="inlineStr">
        <is>
          <t>Hiển thị trực quan cây phòng ban, chức danh và nhân sự đồng bộ từ Tenant Core.</t>
        </is>
      </c>
      <c r="G135" s="23" t="inlineStr"/>
    </row>
    <row r="136" ht="26" customHeight="1">
      <c r="B136" s="20" t="inlineStr"/>
      <c r="C136" s="21" t="inlineStr">
        <is>
          <t>BÁO CÁO LỖI &amp; LƯU Ý KIỂM THỬ (BUG REPORT TEMPLATE)</t>
        </is>
      </c>
      <c r="D136" s="18" t="n"/>
      <c r="E136" s="18" t="n"/>
      <c r="F136" s="18" t="n"/>
      <c r="G136" s="19" t="n"/>
    </row>
  </sheetData>
  <mergeCells count="31">
    <mergeCell ref="C6:G6"/>
    <mergeCell ref="C33:G33"/>
    <mergeCell ref="C104:G104"/>
    <mergeCell ref="C5:G5"/>
    <mergeCell ref="C107:G107"/>
    <mergeCell ref="C88:G88"/>
    <mergeCell ref="C64:G64"/>
    <mergeCell ref="C26:G26"/>
    <mergeCell ref="C65:G65"/>
    <mergeCell ref="C103:G103"/>
    <mergeCell ref="C16:G16"/>
    <mergeCell ref="C94:G94"/>
    <mergeCell ref="C44:G44"/>
    <mergeCell ref="C99:G99"/>
    <mergeCell ref="C124:G124"/>
    <mergeCell ref="C22:G22"/>
    <mergeCell ref="C40:G40"/>
    <mergeCell ref="C56:G56"/>
    <mergeCell ref="C136:G136"/>
    <mergeCell ref="C21:G21"/>
    <mergeCell ref="C130:G130"/>
    <mergeCell ref="C115:G115"/>
    <mergeCell ref="C51:G51"/>
    <mergeCell ref="C36:G36"/>
    <mergeCell ref="C61:G61"/>
    <mergeCell ref="C48:G48"/>
    <mergeCell ref="C7:G7"/>
    <mergeCell ref="C82:G82"/>
    <mergeCell ref="C111:G111"/>
    <mergeCell ref="C69:G69"/>
    <mergeCell ref="C78:G78"/>
  </mergeCells>
  <dataValidations count="1">
    <dataValidation sqref="B5:B137" showDropDown="1" showInputMessage="0" showErrorMessage="0" allowBlank="1" type="list">
      <formula1>"Chưa test,Đạt (Pass),Lỗi (Fail),Bỏ qua"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2026-09-07T07:30:08Z</dcterms:created>
  <dcterms:modified xmlns:dcterms="http://purl.org/dc/terms/" xmlns:xsi="http://www.w3.org/2001/XMLSchema-instance" xsi:type="dcterms:W3CDTF">2026-09-07T07:30:08Z</dcterms:modified>
</cp:coreProperties>
</file>